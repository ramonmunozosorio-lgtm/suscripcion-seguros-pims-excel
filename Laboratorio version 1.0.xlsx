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DUCACION\ENTRENAMIENTO IA\PRUEBAS escenarios PROMPT\Caso 3 Aseguradora\"/>
    </mc:Choice>
  </mc:AlternateContent>
  <xr:revisionPtr revIDLastSave="0" documentId="13_ncr:1_{4F33D509-0FB5-4CD9-8DE4-D6E74CAD305A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Base_Altas_Recibidas" sheetId="1" r:id="rId1"/>
    <sheet name="Catalogo_Planes_PIMS" sheetId="2" r:id="rId2"/>
    <sheet name="Dashboard_Cuadratura_Diaria" sheetId="3" r:id="rId3"/>
    <sheet name="Auditoria_Rechazos_PIMS" sheetId="4" r:id="rId4"/>
    <sheet name="Pruebas_Control" sheetId="5" r:id="rId5"/>
  </sheets>
  <definedNames>
    <definedName name="_xlnm._FilterDatabase" localSheetId="3" hidden="1">Auditoria_Rechazos_PIMS!$A$9:$H$108</definedName>
    <definedName name="_xlnm._FilterDatabase" localSheetId="0" hidden="1">Base_Altas_Recibidas!$A$4:$S$104</definedName>
    <definedName name="_xlnm._FilterDatabase" localSheetId="2" hidden="1">Dashboard_Cuadratura_Diaria!$B$9:$N$12</definedName>
    <definedName name="_xlnm._FilterDatabase" localSheetId="4" hidden="1">Pruebas_Control!$A$4:$E$18</definedName>
    <definedName name="_xlnm.Print_Titles" localSheetId="3">Auditoria_Rechazos_PIMS!$8:$8</definedName>
    <definedName name="_xlnm.Print_Titles" localSheetId="0">Base_Altas_Recibidas!$4:$4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3" l="1"/>
  <c r="C11" i="3"/>
  <c r="C10" i="3"/>
  <c r="B5" i="3"/>
  <c r="H2" i="3"/>
  <c r="R104" i="1"/>
  <c r="Q104" i="1"/>
  <c r="P104" i="1"/>
  <c r="M104" i="1"/>
  <c r="N104" i="1" s="1"/>
  <c r="J104" i="1"/>
  <c r="G104" i="1"/>
  <c r="R103" i="1"/>
  <c r="Q103" i="1"/>
  <c r="P103" i="1"/>
  <c r="M103" i="1"/>
  <c r="N103" i="1" s="1"/>
  <c r="J103" i="1"/>
  <c r="G103" i="1"/>
  <c r="R102" i="1"/>
  <c r="Q102" i="1"/>
  <c r="P102" i="1"/>
  <c r="M102" i="1"/>
  <c r="N102" i="1" s="1"/>
  <c r="J102" i="1"/>
  <c r="G102" i="1"/>
  <c r="R101" i="1"/>
  <c r="Q101" i="1"/>
  <c r="P101" i="1"/>
  <c r="M101" i="1"/>
  <c r="N101" i="1" s="1"/>
  <c r="J101" i="1"/>
  <c r="G101" i="1"/>
  <c r="R100" i="1"/>
  <c r="Q100" i="1"/>
  <c r="P100" i="1"/>
  <c r="M100" i="1"/>
  <c r="N100" i="1" s="1"/>
  <c r="J100" i="1"/>
  <c r="G100" i="1"/>
  <c r="R99" i="1"/>
  <c r="Q99" i="1"/>
  <c r="P99" i="1"/>
  <c r="M99" i="1"/>
  <c r="N99" i="1" s="1"/>
  <c r="J99" i="1"/>
  <c r="G99" i="1"/>
  <c r="R98" i="1"/>
  <c r="Q98" i="1"/>
  <c r="P98" i="1"/>
  <c r="M98" i="1"/>
  <c r="N98" i="1" s="1"/>
  <c r="J98" i="1"/>
  <c r="G98" i="1"/>
  <c r="R97" i="1"/>
  <c r="Q97" i="1"/>
  <c r="P97" i="1"/>
  <c r="M97" i="1"/>
  <c r="N97" i="1" s="1"/>
  <c r="J97" i="1"/>
  <c r="G97" i="1"/>
  <c r="R96" i="1"/>
  <c r="Q96" i="1"/>
  <c r="P96" i="1"/>
  <c r="M96" i="1"/>
  <c r="N96" i="1" s="1"/>
  <c r="J96" i="1"/>
  <c r="G96" i="1"/>
  <c r="R95" i="1"/>
  <c r="Q95" i="1"/>
  <c r="P95" i="1"/>
  <c r="M95" i="1"/>
  <c r="N95" i="1" s="1"/>
  <c r="J95" i="1"/>
  <c r="G95" i="1"/>
  <c r="R94" i="1"/>
  <c r="Q94" i="1"/>
  <c r="P94" i="1"/>
  <c r="M94" i="1"/>
  <c r="N94" i="1" s="1"/>
  <c r="J94" i="1"/>
  <c r="G94" i="1"/>
  <c r="R93" i="1"/>
  <c r="Q93" i="1"/>
  <c r="P93" i="1"/>
  <c r="M93" i="1"/>
  <c r="N93" i="1" s="1"/>
  <c r="J93" i="1"/>
  <c r="G93" i="1"/>
  <c r="R92" i="1"/>
  <c r="Q92" i="1"/>
  <c r="P92" i="1"/>
  <c r="M92" i="1"/>
  <c r="N92" i="1" s="1"/>
  <c r="J92" i="1"/>
  <c r="G92" i="1"/>
  <c r="R91" i="1"/>
  <c r="Q91" i="1"/>
  <c r="P91" i="1"/>
  <c r="M91" i="1"/>
  <c r="N91" i="1" s="1"/>
  <c r="J91" i="1"/>
  <c r="G91" i="1"/>
  <c r="R90" i="1"/>
  <c r="Q90" i="1"/>
  <c r="P90" i="1"/>
  <c r="M90" i="1"/>
  <c r="N90" i="1" s="1"/>
  <c r="J90" i="1"/>
  <c r="G90" i="1"/>
  <c r="R89" i="1"/>
  <c r="Q89" i="1"/>
  <c r="P89" i="1"/>
  <c r="M89" i="1"/>
  <c r="N89" i="1" s="1"/>
  <c r="J89" i="1"/>
  <c r="G89" i="1"/>
  <c r="R88" i="1"/>
  <c r="Q88" i="1"/>
  <c r="P88" i="1"/>
  <c r="M88" i="1"/>
  <c r="N88" i="1" s="1"/>
  <c r="J88" i="1"/>
  <c r="G88" i="1"/>
  <c r="R87" i="1"/>
  <c r="Q87" i="1"/>
  <c r="P87" i="1"/>
  <c r="M87" i="1"/>
  <c r="N87" i="1" s="1"/>
  <c r="J87" i="1"/>
  <c r="G87" i="1"/>
  <c r="R86" i="1"/>
  <c r="Q86" i="1"/>
  <c r="P86" i="1"/>
  <c r="M86" i="1"/>
  <c r="N86" i="1" s="1"/>
  <c r="J86" i="1"/>
  <c r="G86" i="1"/>
  <c r="R85" i="1"/>
  <c r="Q85" i="1"/>
  <c r="P85" i="1"/>
  <c r="M85" i="1"/>
  <c r="N85" i="1" s="1"/>
  <c r="J85" i="1"/>
  <c r="G85" i="1"/>
  <c r="R84" i="1"/>
  <c r="Q84" i="1"/>
  <c r="P84" i="1"/>
  <c r="M84" i="1"/>
  <c r="N84" i="1" s="1"/>
  <c r="J84" i="1"/>
  <c r="G84" i="1"/>
  <c r="R83" i="1"/>
  <c r="Q83" i="1"/>
  <c r="P83" i="1"/>
  <c r="M83" i="1"/>
  <c r="N83" i="1" s="1"/>
  <c r="J83" i="1"/>
  <c r="G83" i="1"/>
  <c r="R82" i="1"/>
  <c r="Q82" i="1"/>
  <c r="P82" i="1"/>
  <c r="M82" i="1"/>
  <c r="N82" i="1" s="1"/>
  <c r="J82" i="1"/>
  <c r="G82" i="1"/>
  <c r="R81" i="1"/>
  <c r="Q81" i="1"/>
  <c r="P81" i="1"/>
  <c r="M81" i="1"/>
  <c r="N81" i="1" s="1"/>
  <c r="J81" i="1"/>
  <c r="G81" i="1"/>
  <c r="R80" i="1"/>
  <c r="Q80" i="1"/>
  <c r="P80" i="1"/>
  <c r="M80" i="1"/>
  <c r="N80" i="1" s="1"/>
  <c r="J80" i="1"/>
  <c r="G80" i="1"/>
  <c r="R79" i="1"/>
  <c r="Q79" i="1"/>
  <c r="P79" i="1"/>
  <c r="M79" i="1"/>
  <c r="N79" i="1" s="1"/>
  <c r="J79" i="1"/>
  <c r="G79" i="1"/>
  <c r="R78" i="1"/>
  <c r="Q78" i="1"/>
  <c r="P78" i="1"/>
  <c r="M78" i="1"/>
  <c r="N78" i="1" s="1"/>
  <c r="J78" i="1"/>
  <c r="G78" i="1"/>
  <c r="R77" i="1"/>
  <c r="Q77" i="1"/>
  <c r="P77" i="1"/>
  <c r="M77" i="1"/>
  <c r="N77" i="1" s="1"/>
  <c r="J77" i="1"/>
  <c r="G77" i="1"/>
  <c r="R76" i="1"/>
  <c r="Q76" i="1"/>
  <c r="P76" i="1"/>
  <c r="M76" i="1"/>
  <c r="N76" i="1" s="1"/>
  <c r="J76" i="1"/>
  <c r="G76" i="1"/>
  <c r="K76" i="1" s="1"/>
  <c r="R75" i="1"/>
  <c r="Q75" i="1"/>
  <c r="P75" i="1"/>
  <c r="M75" i="1"/>
  <c r="N75" i="1" s="1"/>
  <c r="J75" i="1"/>
  <c r="G75" i="1"/>
  <c r="K75" i="1" s="1"/>
  <c r="R74" i="1"/>
  <c r="Q74" i="1"/>
  <c r="P74" i="1"/>
  <c r="M74" i="1"/>
  <c r="N74" i="1" s="1"/>
  <c r="J74" i="1"/>
  <c r="G74" i="1"/>
  <c r="K74" i="1" s="1"/>
  <c r="R73" i="1"/>
  <c r="Q73" i="1"/>
  <c r="P73" i="1"/>
  <c r="M73" i="1"/>
  <c r="N73" i="1" s="1"/>
  <c r="J73" i="1"/>
  <c r="G73" i="1"/>
  <c r="K73" i="1" s="1"/>
  <c r="R72" i="1"/>
  <c r="Q72" i="1"/>
  <c r="P72" i="1"/>
  <c r="M72" i="1"/>
  <c r="N72" i="1" s="1"/>
  <c r="J72" i="1"/>
  <c r="G72" i="1"/>
  <c r="R71" i="1"/>
  <c r="Q71" i="1"/>
  <c r="P71" i="1"/>
  <c r="M71" i="1"/>
  <c r="N71" i="1" s="1"/>
  <c r="J71" i="1"/>
  <c r="G71" i="1"/>
  <c r="K71" i="1" s="1"/>
  <c r="R70" i="1"/>
  <c r="Q70" i="1"/>
  <c r="P70" i="1"/>
  <c r="M70" i="1"/>
  <c r="N70" i="1" s="1"/>
  <c r="J70" i="1"/>
  <c r="G70" i="1"/>
  <c r="K70" i="1" s="1"/>
  <c r="R69" i="1"/>
  <c r="Q69" i="1"/>
  <c r="P69" i="1"/>
  <c r="M69" i="1"/>
  <c r="N69" i="1" s="1"/>
  <c r="J69" i="1"/>
  <c r="G69" i="1"/>
  <c r="R68" i="1"/>
  <c r="Q68" i="1"/>
  <c r="P68" i="1"/>
  <c r="M68" i="1"/>
  <c r="N68" i="1" s="1"/>
  <c r="J68" i="1"/>
  <c r="G68" i="1"/>
  <c r="R67" i="1"/>
  <c r="Q67" i="1"/>
  <c r="P67" i="1"/>
  <c r="M67" i="1"/>
  <c r="N67" i="1" s="1"/>
  <c r="J67" i="1"/>
  <c r="G67" i="1"/>
  <c r="R66" i="1"/>
  <c r="Q66" i="1"/>
  <c r="P66" i="1"/>
  <c r="M66" i="1"/>
  <c r="N66" i="1" s="1"/>
  <c r="J66" i="1"/>
  <c r="G66" i="1"/>
  <c r="R65" i="1"/>
  <c r="Q65" i="1"/>
  <c r="P65" i="1"/>
  <c r="M65" i="1"/>
  <c r="N65" i="1" s="1"/>
  <c r="J65" i="1"/>
  <c r="G65" i="1"/>
  <c r="R64" i="1"/>
  <c r="Q64" i="1"/>
  <c r="P64" i="1"/>
  <c r="M64" i="1"/>
  <c r="N64" i="1" s="1"/>
  <c r="J64" i="1"/>
  <c r="G64" i="1"/>
  <c r="R63" i="1"/>
  <c r="Q63" i="1"/>
  <c r="P63" i="1"/>
  <c r="M63" i="1"/>
  <c r="N63" i="1" s="1"/>
  <c r="J63" i="1"/>
  <c r="G63" i="1"/>
  <c r="R62" i="1"/>
  <c r="Q62" i="1"/>
  <c r="P62" i="1"/>
  <c r="M62" i="1"/>
  <c r="N62" i="1" s="1"/>
  <c r="J62" i="1"/>
  <c r="G62" i="1"/>
  <c r="R61" i="1"/>
  <c r="Q61" i="1"/>
  <c r="P61" i="1"/>
  <c r="M61" i="1"/>
  <c r="N61" i="1" s="1"/>
  <c r="J61" i="1"/>
  <c r="G61" i="1"/>
  <c r="R60" i="1"/>
  <c r="Q60" i="1"/>
  <c r="P60" i="1"/>
  <c r="M60" i="1"/>
  <c r="N60" i="1" s="1"/>
  <c r="J60" i="1"/>
  <c r="G60" i="1"/>
  <c r="R59" i="1"/>
  <c r="Q59" i="1"/>
  <c r="P59" i="1"/>
  <c r="M59" i="1"/>
  <c r="N59" i="1" s="1"/>
  <c r="J59" i="1"/>
  <c r="G59" i="1"/>
  <c r="R58" i="1"/>
  <c r="Q58" i="1"/>
  <c r="P58" i="1"/>
  <c r="M58" i="1"/>
  <c r="N58" i="1" s="1"/>
  <c r="J58" i="1"/>
  <c r="G58" i="1"/>
  <c r="R57" i="1"/>
  <c r="Q57" i="1"/>
  <c r="P57" i="1"/>
  <c r="M57" i="1"/>
  <c r="N57" i="1" s="1"/>
  <c r="J57" i="1"/>
  <c r="G57" i="1"/>
  <c r="R56" i="1"/>
  <c r="Q56" i="1"/>
  <c r="P56" i="1"/>
  <c r="M56" i="1"/>
  <c r="N56" i="1" s="1"/>
  <c r="J56" i="1"/>
  <c r="G56" i="1"/>
  <c r="R55" i="1"/>
  <c r="Q55" i="1"/>
  <c r="P55" i="1"/>
  <c r="M55" i="1"/>
  <c r="N55" i="1" s="1"/>
  <c r="J55" i="1"/>
  <c r="G55" i="1"/>
  <c r="R54" i="1"/>
  <c r="Q54" i="1"/>
  <c r="P54" i="1"/>
  <c r="M54" i="1"/>
  <c r="N54" i="1" s="1"/>
  <c r="J54" i="1"/>
  <c r="G54" i="1"/>
  <c r="R53" i="1"/>
  <c r="Q53" i="1"/>
  <c r="P53" i="1"/>
  <c r="M53" i="1"/>
  <c r="N53" i="1" s="1"/>
  <c r="J53" i="1"/>
  <c r="G53" i="1"/>
  <c r="R52" i="1"/>
  <c r="Q52" i="1"/>
  <c r="P52" i="1"/>
  <c r="M52" i="1"/>
  <c r="N52" i="1" s="1"/>
  <c r="J52" i="1"/>
  <c r="G52" i="1"/>
  <c r="R51" i="1"/>
  <c r="Q51" i="1"/>
  <c r="P51" i="1"/>
  <c r="M51" i="1"/>
  <c r="N51" i="1" s="1"/>
  <c r="J51" i="1"/>
  <c r="G51" i="1"/>
  <c r="R50" i="1"/>
  <c r="Q50" i="1"/>
  <c r="P50" i="1"/>
  <c r="M50" i="1"/>
  <c r="N50" i="1" s="1"/>
  <c r="J50" i="1"/>
  <c r="G50" i="1"/>
  <c r="R49" i="1"/>
  <c r="Q49" i="1"/>
  <c r="P49" i="1"/>
  <c r="M49" i="1"/>
  <c r="N49" i="1" s="1"/>
  <c r="J49" i="1"/>
  <c r="G49" i="1"/>
  <c r="R48" i="1"/>
  <c r="Q48" i="1"/>
  <c r="P48" i="1"/>
  <c r="M48" i="1"/>
  <c r="N48" i="1" s="1"/>
  <c r="J48" i="1"/>
  <c r="G48" i="1"/>
  <c r="R47" i="1"/>
  <c r="Q47" i="1"/>
  <c r="P47" i="1"/>
  <c r="M47" i="1"/>
  <c r="N47" i="1" s="1"/>
  <c r="J47" i="1"/>
  <c r="G47" i="1"/>
  <c r="R46" i="1"/>
  <c r="Q46" i="1"/>
  <c r="P46" i="1"/>
  <c r="M46" i="1"/>
  <c r="N46" i="1" s="1"/>
  <c r="J46" i="1"/>
  <c r="G46" i="1"/>
  <c r="R45" i="1"/>
  <c r="Q45" i="1"/>
  <c r="P45" i="1"/>
  <c r="M45" i="1"/>
  <c r="N45" i="1" s="1"/>
  <c r="J45" i="1"/>
  <c r="G45" i="1"/>
  <c r="R44" i="1"/>
  <c r="Q44" i="1"/>
  <c r="P44" i="1"/>
  <c r="M44" i="1"/>
  <c r="N44" i="1" s="1"/>
  <c r="J44" i="1"/>
  <c r="G44" i="1"/>
  <c r="R43" i="1"/>
  <c r="Q43" i="1"/>
  <c r="P43" i="1"/>
  <c r="M43" i="1"/>
  <c r="N43" i="1" s="1"/>
  <c r="J43" i="1"/>
  <c r="G43" i="1"/>
  <c r="K43" i="1" s="1"/>
  <c r="R42" i="1"/>
  <c r="Q42" i="1"/>
  <c r="P42" i="1"/>
  <c r="M42" i="1"/>
  <c r="N42" i="1" s="1"/>
  <c r="J42" i="1"/>
  <c r="G42" i="1"/>
  <c r="R41" i="1"/>
  <c r="Q41" i="1"/>
  <c r="P41" i="1"/>
  <c r="M41" i="1"/>
  <c r="N41" i="1" s="1"/>
  <c r="J41" i="1"/>
  <c r="G41" i="1"/>
  <c r="R40" i="1"/>
  <c r="Q40" i="1"/>
  <c r="P40" i="1"/>
  <c r="M40" i="1"/>
  <c r="N40" i="1" s="1"/>
  <c r="J40" i="1"/>
  <c r="G40" i="1"/>
  <c r="R39" i="1"/>
  <c r="Q39" i="1"/>
  <c r="P39" i="1"/>
  <c r="M39" i="1"/>
  <c r="N39" i="1" s="1"/>
  <c r="J39" i="1"/>
  <c r="G39" i="1"/>
  <c r="R38" i="1"/>
  <c r="Q38" i="1"/>
  <c r="P38" i="1"/>
  <c r="M38" i="1"/>
  <c r="N38" i="1" s="1"/>
  <c r="J38" i="1"/>
  <c r="G38" i="1"/>
  <c r="R37" i="1"/>
  <c r="Q37" i="1"/>
  <c r="P37" i="1"/>
  <c r="M37" i="1"/>
  <c r="N37" i="1" s="1"/>
  <c r="J37" i="1"/>
  <c r="G37" i="1"/>
  <c r="R36" i="1"/>
  <c r="Q36" i="1"/>
  <c r="P36" i="1"/>
  <c r="M36" i="1"/>
  <c r="N36" i="1" s="1"/>
  <c r="J36" i="1"/>
  <c r="G36" i="1"/>
  <c r="R35" i="1"/>
  <c r="Q35" i="1"/>
  <c r="P35" i="1"/>
  <c r="M35" i="1"/>
  <c r="N35" i="1" s="1"/>
  <c r="J35" i="1"/>
  <c r="G35" i="1"/>
  <c r="R34" i="1"/>
  <c r="Q34" i="1"/>
  <c r="P34" i="1"/>
  <c r="M34" i="1"/>
  <c r="N34" i="1" s="1"/>
  <c r="J34" i="1"/>
  <c r="G34" i="1"/>
  <c r="R33" i="1"/>
  <c r="Q33" i="1"/>
  <c r="P33" i="1"/>
  <c r="M33" i="1"/>
  <c r="N33" i="1" s="1"/>
  <c r="J33" i="1"/>
  <c r="G33" i="1"/>
  <c r="R32" i="1"/>
  <c r="Q32" i="1"/>
  <c r="P32" i="1"/>
  <c r="M32" i="1"/>
  <c r="N32" i="1" s="1"/>
  <c r="J32" i="1"/>
  <c r="G32" i="1"/>
  <c r="R31" i="1"/>
  <c r="Q31" i="1"/>
  <c r="P31" i="1"/>
  <c r="M31" i="1"/>
  <c r="N31" i="1" s="1"/>
  <c r="J31" i="1"/>
  <c r="G31" i="1"/>
  <c r="R30" i="1"/>
  <c r="Q30" i="1"/>
  <c r="P30" i="1"/>
  <c r="M30" i="1"/>
  <c r="N30" i="1" s="1"/>
  <c r="J30" i="1"/>
  <c r="G30" i="1"/>
  <c r="R29" i="1"/>
  <c r="Q29" i="1"/>
  <c r="P29" i="1"/>
  <c r="M29" i="1"/>
  <c r="N29" i="1" s="1"/>
  <c r="J29" i="1"/>
  <c r="G29" i="1"/>
  <c r="R28" i="1"/>
  <c r="Q28" i="1"/>
  <c r="P28" i="1"/>
  <c r="M28" i="1"/>
  <c r="N28" i="1" s="1"/>
  <c r="J28" i="1"/>
  <c r="G28" i="1"/>
  <c r="R27" i="1"/>
  <c r="Q27" i="1"/>
  <c r="P27" i="1"/>
  <c r="M27" i="1"/>
  <c r="N27" i="1" s="1"/>
  <c r="J27" i="1"/>
  <c r="G27" i="1"/>
  <c r="R26" i="1"/>
  <c r="Q26" i="1"/>
  <c r="P26" i="1"/>
  <c r="M26" i="1"/>
  <c r="N26" i="1" s="1"/>
  <c r="J26" i="1"/>
  <c r="G26" i="1"/>
  <c r="R25" i="1"/>
  <c r="Q25" i="1"/>
  <c r="P25" i="1"/>
  <c r="M25" i="1"/>
  <c r="N25" i="1" s="1"/>
  <c r="J25" i="1"/>
  <c r="G25" i="1"/>
  <c r="R24" i="1"/>
  <c r="Q24" i="1"/>
  <c r="P24" i="1"/>
  <c r="M24" i="1"/>
  <c r="N24" i="1" s="1"/>
  <c r="J24" i="1"/>
  <c r="G24" i="1"/>
  <c r="R23" i="1"/>
  <c r="Q23" i="1"/>
  <c r="P23" i="1"/>
  <c r="M23" i="1"/>
  <c r="N23" i="1" s="1"/>
  <c r="J23" i="1"/>
  <c r="G23" i="1"/>
  <c r="R22" i="1"/>
  <c r="Q22" i="1"/>
  <c r="P22" i="1"/>
  <c r="M22" i="1"/>
  <c r="N22" i="1" s="1"/>
  <c r="J22" i="1"/>
  <c r="G22" i="1"/>
  <c r="R21" i="1"/>
  <c r="Q21" i="1"/>
  <c r="P21" i="1"/>
  <c r="M21" i="1"/>
  <c r="N21" i="1" s="1"/>
  <c r="J21" i="1"/>
  <c r="G21" i="1"/>
  <c r="R20" i="1"/>
  <c r="Q20" i="1"/>
  <c r="P20" i="1"/>
  <c r="M20" i="1"/>
  <c r="N20" i="1" s="1"/>
  <c r="J20" i="1"/>
  <c r="G20" i="1"/>
  <c r="R19" i="1"/>
  <c r="Q19" i="1"/>
  <c r="P19" i="1"/>
  <c r="M19" i="1"/>
  <c r="N19" i="1" s="1"/>
  <c r="J19" i="1"/>
  <c r="G19" i="1"/>
  <c r="R18" i="1"/>
  <c r="Q18" i="1"/>
  <c r="P18" i="1"/>
  <c r="M18" i="1"/>
  <c r="N18" i="1" s="1"/>
  <c r="J18" i="1"/>
  <c r="G18" i="1"/>
  <c r="R17" i="1"/>
  <c r="Q17" i="1"/>
  <c r="P17" i="1"/>
  <c r="M17" i="1"/>
  <c r="N17" i="1" s="1"/>
  <c r="J17" i="1"/>
  <c r="G17" i="1"/>
  <c r="R16" i="1"/>
  <c r="Q16" i="1"/>
  <c r="P16" i="1"/>
  <c r="M16" i="1"/>
  <c r="N16" i="1" s="1"/>
  <c r="J16" i="1"/>
  <c r="G16" i="1"/>
  <c r="R15" i="1"/>
  <c r="Q15" i="1"/>
  <c r="P15" i="1"/>
  <c r="M15" i="1"/>
  <c r="N15" i="1" s="1"/>
  <c r="J15" i="1"/>
  <c r="G15" i="1"/>
  <c r="R14" i="1"/>
  <c r="Q14" i="1"/>
  <c r="P14" i="1"/>
  <c r="M14" i="1"/>
  <c r="N14" i="1" s="1"/>
  <c r="J14" i="1"/>
  <c r="G14" i="1"/>
  <c r="R13" i="1"/>
  <c r="Q13" i="1"/>
  <c r="P13" i="1"/>
  <c r="M13" i="1"/>
  <c r="N13" i="1" s="1"/>
  <c r="J13" i="1"/>
  <c r="G13" i="1"/>
  <c r="R12" i="1"/>
  <c r="Q12" i="1"/>
  <c r="P12" i="1"/>
  <c r="M12" i="1"/>
  <c r="N12" i="1" s="1"/>
  <c r="J12" i="1"/>
  <c r="G12" i="1"/>
  <c r="R11" i="1"/>
  <c r="Q11" i="1"/>
  <c r="P11" i="1"/>
  <c r="M11" i="1"/>
  <c r="N11" i="1" s="1"/>
  <c r="J11" i="1"/>
  <c r="G11" i="1"/>
  <c r="R10" i="1"/>
  <c r="Q10" i="1"/>
  <c r="P10" i="1"/>
  <c r="M10" i="1"/>
  <c r="N10" i="1" s="1"/>
  <c r="J10" i="1"/>
  <c r="G10" i="1"/>
  <c r="R9" i="1"/>
  <c r="Q9" i="1"/>
  <c r="P9" i="1"/>
  <c r="M9" i="1"/>
  <c r="N9" i="1" s="1"/>
  <c r="J9" i="1"/>
  <c r="G9" i="1"/>
  <c r="R8" i="1"/>
  <c r="Q8" i="1"/>
  <c r="P8" i="1"/>
  <c r="M8" i="1"/>
  <c r="N8" i="1" s="1"/>
  <c r="J8" i="1"/>
  <c r="G8" i="1"/>
  <c r="R7" i="1"/>
  <c r="Q7" i="1"/>
  <c r="P7" i="1"/>
  <c r="M7" i="1"/>
  <c r="N7" i="1" s="1"/>
  <c r="J7" i="1"/>
  <c r="G7" i="1"/>
  <c r="R6" i="1"/>
  <c r="Q6" i="1"/>
  <c r="P6" i="1"/>
  <c r="M6" i="1"/>
  <c r="N6" i="1" s="1"/>
  <c r="J6" i="1"/>
  <c r="G6" i="1"/>
  <c r="R5" i="1"/>
  <c r="Q5" i="1"/>
  <c r="P5" i="1"/>
  <c r="M5" i="1"/>
  <c r="N5" i="1" s="1"/>
  <c r="J5" i="1"/>
  <c r="G5" i="1"/>
  <c r="K37" i="1" l="1"/>
  <c r="K72" i="1"/>
  <c r="K19" i="1"/>
  <c r="L19" i="1" s="1"/>
  <c r="K17" i="1"/>
  <c r="K16" i="1"/>
  <c r="K41" i="1"/>
  <c r="L41" i="1" s="1"/>
  <c r="K20" i="1"/>
  <c r="L20" i="1" s="1"/>
  <c r="K40" i="1"/>
  <c r="L40" i="1" s="1"/>
  <c r="K18" i="1"/>
  <c r="L18" i="1" s="1"/>
  <c r="K55" i="1"/>
  <c r="K95" i="1"/>
  <c r="L95" i="1" s="1"/>
  <c r="K85" i="1"/>
  <c r="L85" i="1" s="1"/>
  <c r="K82" i="1"/>
  <c r="L82" i="1" s="1"/>
  <c r="K80" i="1"/>
  <c r="K23" i="1"/>
  <c r="L23" i="1" s="1"/>
  <c r="K65" i="1"/>
  <c r="L65" i="1" s="1"/>
  <c r="K62" i="1"/>
  <c r="L62" i="1" s="1"/>
  <c r="K59" i="1"/>
  <c r="L59" i="1" s="1"/>
  <c r="K22" i="1"/>
  <c r="K52" i="1"/>
  <c r="L52" i="1" s="1"/>
  <c r="K38" i="1"/>
  <c r="K21" i="1"/>
  <c r="K36" i="1"/>
  <c r="K8" i="1"/>
  <c r="L8" i="1" s="1"/>
  <c r="K24" i="1"/>
  <c r="K104" i="1"/>
  <c r="L104" i="1" s="1"/>
  <c r="K33" i="1"/>
  <c r="S34" i="1"/>
  <c r="K34" i="1"/>
  <c r="L34" i="1" s="1"/>
  <c r="K26" i="1"/>
  <c r="L26" i="1" s="1"/>
  <c r="K48" i="1"/>
  <c r="L48" i="1" s="1"/>
  <c r="S48" i="1"/>
  <c r="K47" i="1"/>
  <c r="L47" i="1" s="1"/>
  <c r="S47" i="1"/>
  <c r="K45" i="1"/>
  <c r="S41" i="1"/>
  <c r="S40" i="1"/>
  <c r="K35" i="1"/>
  <c r="K29" i="1"/>
  <c r="L29" i="1" s="1"/>
  <c r="K28" i="1"/>
  <c r="S27" i="1"/>
  <c r="K27" i="1"/>
  <c r="L27" i="1" s="1"/>
  <c r="S8" i="1"/>
  <c r="K25" i="1"/>
  <c r="L25" i="1" s="1"/>
  <c r="S19" i="1"/>
  <c r="S18" i="1"/>
  <c r="S85" i="1"/>
  <c r="S65" i="1"/>
  <c r="S62" i="1"/>
  <c r="S59" i="1"/>
  <c r="S104" i="1"/>
  <c r="S95" i="1"/>
  <c r="S82" i="1"/>
  <c r="S55" i="1"/>
  <c r="S52" i="1"/>
  <c r="K32" i="1"/>
  <c r="C13" i="3"/>
  <c r="S86" i="1"/>
  <c r="K86" i="1"/>
  <c r="K77" i="1"/>
  <c r="S77" i="1"/>
  <c r="L76" i="1"/>
  <c r="O76" i="1"/>
  <c r="L75" i="1"/>
  <c r="O75" i="1"/>
  <c r="L74" i="1"/>
  <c r="O74" i="1"/>
  <c r="L73" i="1"/>
  <c r="L71" i="1"/>
  <c r="O71" i="1"/>
  <c r="L70" i="1"/>
  <c r="O70" i="1"/>
  <c r="L43" i="1"/>
  <c r="S39" i="1"/>
  <c r="K39" i="1"/>
  <c r="L37" i="1"/>
  <c r="O37" i="1"/>
  <c r="S7" i="1"/>
  <c r="K7" i="1"/>
  <c r="K103" i="1"/>
  <c r="S102" i="1"/>
  <c r="K101" i="1"/>
  <c r="S101" i="1"/>
  <c r="S100" i="1"/>
  <c r="K99" i="1"/>
  <c r="S99" i="1"/>
  <c r="K97" i="1"/>
  <c r="S97" i="1"/>
  <c r="K96" i="1"/>
  <c r="S96" i="1"/>
  <c r="K94" i="1"/>
  <c r="S94" i="1"/>
  <c r="K93" i="1"/>
  <c r="S93" i="1"/>
  <c r="K92" i="1"/>
  <c r="S92" i="1"/>
  <c r="K91" i="1"/>
  <c r="K88" i="1"/>
  <c r="S88" i="1"/>
  <c r="K87" i="1"/>
  <c r="S87" i="1"/>
  <c r="K84" i="1"/>
  <c r="S84" i="1"/>
  <c r="K83" i="1"/>
  <c r="S83" i="1"/>
  <c r="K81" i="1"/>
  <c r="S81" i="1"/>
  <c r="S68" i="1"/>
  <c r="K68" i="1"/>
  <c r="S63" i="1"/>
  <c r="S60" i="1"/>
  <c r="K58" i="1"/>
  <c r="S56" i="1"/>
  <c r="K31" i="1"/>
  <c r="K30" i="1"/>
  <c r="S5" i="1"/>
  <c r="S80" i="1"/>
  <c r="K79" i="1"/>
  <c r="S79" i="1"/>
  <c r="K78" i="1"/>
  <c r="S78" i="1"/>
  <c r="S76" i="1"/>
  <c r="S75" i="1"/>
  <c r="S74" i="1"/>
  <c r="S73" i="1"/>
  <c r="S72" i="1"/>
  <c r="S71" i="1"/>
  <c r="S70" i="1"/>
  <c r="S69" i="1"/>
  <c r="K69" i="1"/>
  <c r="K67" i="1"/>
  <c r="S64" i="1"/>
  <c r="K63" i="1"/>
  <c r="S61" i="1"/>
  <c r="K60" i="1"/>
  <c r="S58" i="1"/>
  <c r="K57" i="1"/>
  <c r="K54" i="1"/>
  <c r="S54" i="1"/>
  <c r="K53" i="1"/>
  <c r="S53" i="1"/>
  <c r="K51" i="1"/>
  <c r="S51" i="1"/>
  <c r="K50" i="1"/>
  <c r="S50" i="1"/>
  <c r="K49" i="1"/>
  <c r="S49" i="1"/>
  <c r="K46" i="1"/>
  <c r="S46" i="1"/>
  <c r="S45" i="1"/>
  <c r="K44" i="1"/>
  <c r="S44" i="1"/>
  <c r="S43" i="1"/>
  <c r="K42" i="1"/>
  <c r="S42" i="1"/>
  <c r="S38" i="1"/>
  <c r="S37" i="1"/>
  <c r="S36" i="1"/>
  <c r="S35" i="1"/>
  <c r="S33" i="1"/>
  <c r="S32" i="1"/>
  <c r="S31" i="1"/>
  <c r="K5" i="1"/>
  <c r="S29" i="1"/>
  <c r="S28" i="1"/>
  <c r="S26" i="1"/>
  <c r="S25" i="1"/>
  <c r="S24" i="1"/>
  <c r="S23" i="1"/>
  <c r="S22" i="1"/>
  <c r="S21" i="1"/>
  <c r="S20" i="1"/>
  <c r="S17" i="1"/>
  <c r="S16" i="1"/>
  <c r="K15" i="1"/>
  <c r="S15" i="1"/>
  <c r="K14" i="1"/>
  <c r="S14" i="1"/>
  <c r="K13" i="1"/>
  <c r="S13" i="1"/>
  <c r="K12" i="1"/>
  <c r="S12" i="1"/>
  <c r="K11" i="1"/>
  <c r="S11" i="1"/>
  <c r="K10" i="1"/>
  <c r="S10" i="1"/>
  <c r="K9" i="1"/>
  <c r="S9" i="1"/>
  <c r="K6" i="1"/>
  <c r="S6" i="1"/>
  <c r="S103" i="1"/>
  <c r="K102" i="1"/>
  <c r="K100" i="1"/>
  <c r="K98" i="1"/>
  <c r="S98" i="1"/>
  <c r="S91" i="1"/>
  <c r="K90" i="1"/>
  <c r="S90" i="1"/>
  <c r="K89" i="1"/>
  <c r="S89" i="1"/>
  <c r="S67" i="1"/>
  <c r="K66" i="1"/>
  <c r="S66" i="1"/>
  <c r="K64" i="1"/>
  <c r="K61" i="1"/>
  <c r="S57" i="1"/>
  <c r="K56" i="1"/>
  <c r="S30" i="1"/>
  <c r="L17" i="1" l="1"/>
  <c r="O17" i="1"/>
  <c r="L16" i="1"/>
  <c r="O16" i="1"/>
  <c r="L80" i="1"/>
  <c r="O80" i="1"/>
  <c r="L72" i="1"/>
  <c r="O72" i="1"/>
  <c r="L22" i="1"/>
  <c r="O22" i="1"/>
  <c r="L38" i="1"/>
  <c r="O38" i="1"/>
  <c r="L21" i="1"/>
  <c r="O21" i="1"/>
  <c r="L55" i="1"/>
  <c r="O55" i="1"/>
  <c r="D10" i="3"/>
  <c r="L10" i="3" s="1"/>
  <c r="L36" i="1"/>
  <c r="O36" i="1"/>
  <c r="L24" i="1"/>
  <c r="O24" i="1"/>
  <c r="L33" i="1"/>
  <c r="O33" i="1"/>
  <c r="L45" i="1"/>
  <c r="O45" i="1"/>
  <c r="L35" i="1"/>
  <c r="O35" i="1"/>
  <c r="L28" i="1"/>
  <c r="O28" i="1"/>
  <c r="L32" i="1"/>
  <c r="O32" i="1"/>
  <c r="N11" i="3"/>
  <c r="N10" i="3"/>
  <c r="N12" i="3"/>
  <c r="L86" i="1"/>
  <c r="O86" i="1"/>
  <c r="L77" i="1"/>
  <c r="O77" i="1"/>
  <c r="L39" i="1"/>
  <c r="O39" i="1"/>
  <c r="L7" i="1"/>
  <c r="O7" i="1"/>
  <c r="O103" i="1"/>
  <c r="L103" i="1"/>
  <c r="O101" i="1"/>
  <c r="L101" i="1"/>
  <c r="O99" i="1"/>
  <c r="L99" i="1"/>
  <c r="O97" i="1"/>
  <c r="L97" i="1"/>
  <c r="O96" i="1"/>
  <c r="L96" i="1"/>
  <c r="O94" i="1"/>
  <c r="L94" i="1"/>
  <c r="O93" i="1"/>
  <c r="L93" i="1"/>
  <c r="O92" i="1"/>
  <c r="L92" i="1"/>
  <c r="O91" i="1"/>
  <c r="L91" i="1"/>
  <c r="O88" i="1"/>
  <c r="L88" i="1"/>
  <c r="O87" i="1"/>
  <c r="L87" i="1"/>
  <c r="O84" i="1"/>
  <c r="L84" i="1"/>
  <c r="O83" i="1"/>
  <c r="L83" i="1"/>
  <c r="O81" i="1"/>
  <c r="L81" i="1"/>
  <c r="O68" i="1"/>
  <c r="L68" i="1"/>
  <c r="O58" i="1"/>
  <c r="L58" i="1"/>
  <c r="O31" i="1"/>
  <c r="L31" i="1"/>
  <c r="O30" i="1"/>
  <c r="L30" i="1"/>
  <c r="O79" i="1"/>
  <c r="L79" i="1"/>
  <c r="L78" i="1"/>
  <c r="O78" i="1"/>
  <c r="O69" i="1"/>
  <c r="L69" i="1"/>
  <c r="O67" i="1"/>
  <c r="L67" i="1"/>
  <c r="O63" i="1"/>
  <c r="L63" i="1"/>
  <c r="O60" i="1"/>
  <c r="L60" i="1"/>
  <c r="O57" i="1"/>
  <c r="L57" i="1"/>
  <c r="O54" i="1"/>
  <c r="L54" i="1"/>
  <c r="O53" i="1"/>
  <c r="L53" i="1"/>
  <c r="O51" i="1"/>
  <c r="L51" i="1"/>
  <c r="O50" i="1"/>
  <c r="L50" i="1"/>
  <c r="O49" i="1"/>
  <c r="L49" i="1"/>
  <c r="O46" i="1"/>
  <c r="L46" i="1"/>
  <c r="O44" i="1"/>
  <c r="L44" i="1"/>
  <c r="O42" i="1"/>
  <c r="L42" i="1"/>
  <c r="E12" i="3"/>
  <c r="O5" i="1"/>
  <c r="D12" i="3"/>
  <c r="L12" i="3" s="1"/>
  <c r="J5" i="4"/>
  <c r="G5" i="4"/>
  <c r="F5" i="4"/>
  <c r="D5" i="4"/>
  <c r="B5" i="4"/>
  <c r="M12" i="3"/>
  <c r="J12" i="3"/>
  <c r="I12" i="3"/>
  <c r="H12" i="3"/>
  <c r="G12" i="3"/>
  <c r="F12" i="3"/>
  <c r="J5" i="3"/>
  <c r="F5" i="3"/>
  <c r="D5" i="3"/>
  <c r="H5" i="3" s="1"/>
  <c r="L5" i="1"/>
  <c r="O15" i="1"/>
  <c r="L15" i="1"/>
  <c r="O14" i="1"/>
  <c r="L14" i="1"/>
  <c r="O13" i="1"/>
  <c r="L13" i="1"/>
  <c r="O12" i="1"/>
  <c r="L12" i="1"/>
  <c r="O11" i="1"/>
  <c r="L11" i="1"/>
  <c r="O10" i="1"/>
  <c r="L10" i="1"/>
  <c r="O9" i="1"/>
  <c r="L9" i="1"/>
  <c r="M11" i="3"/>
  <c r="I11" i="3"/>
  <c r="G11" i="3"/>
  <c r="E11" i="3"/>
  <c r="J11" i="3"/>
  <c r="H11" i="3"/>
  <c r="F11" i="3"/>
  <c r="D11" i="3"/>
  <c r="O6" i="1"/>
  <c r="L6" i="1"/>
  <c r="O102" i="1"/>
  <c r="L102" i="1"/>
  <c r="L100" i="1"/>
  <c r="O100" i="1"/>
  <c r="O98" i="1"/>
  <c r="L98" i="1"/>
  <c r="O90" i="1"/>
  <c r="L90" i="1"/>
  <c r="O89" i="1"/>
  <c r="L89" i="1"/>
  <c r="O66" i="1"/>
  <c r="L66" i="1"/>
  <c r="O64" i="1"/>
  <c r="L64" i="1"/>
  <c r="O61" i="1"/>
  <c r="L61" i="1"/>
  <c r="O56" i="1"/>
  <c r="L56" i="1"/>
  <c r="F10" i="3"/>
  <c r="I10" i="3"/>
  <c r="M10" i="3"/>
  <c r="G10" i="3"/>
  <c r="J10" i="3"/>
  <c r="E10" i="3"/>
  <c r="H10" i="3"/>
  <c r="O104" i="1"/>
  <c r="O34" i="1"/>
  <c r="O29" i="1"/>
  <c r="O27" i="1"/>
  <c r="O26" i="1"/>
  <c r="O25" i="1"/>
  <c r="O23" i="1"/>
  <c r="O20" i="1"/>
  <c r="O19" i="1"/>
  <c r="O18" i="1"/>
  <c r="O8" i="1"/>
  <c r="O95" i="1"/>
  <c r="O85" i="1"/>
  <c r="O82" i="1"/>
  <c r="O73" i="1"/>
  <c r="O65" i="1"/>
  <c r="O62" i="1"/>
  <c r="O59" i="1"/>
  <c r="O52" i="1"/>
  <c r="O48" i="1"/>
  <c r="O47" i="1"/>
  <c r="O43" i="1"/>
  <c r="O41" i="1"/>
  <c r="O40" i="1"/>
  <c r="F13" i="3" l="1"/>
  <c r="M13" i="3"/>
  <c r="L11" i="3"/>
  <c r="D13" i="3"/>
  <c r="L13" i="3" s="1"/>
  <c r="I13" i="3"/>
  <c r="G13" i="3"/>
  <c r="J13" i="3"/>
  <c r="H13" i="3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E13" i="3"/>
  <c r="K10" i="3"/>
  <c r="K12" i="3"/>
  <c r="K11" i="3"/>
  <c r="N13" i="3"/>
  <c r="H5" i="4" l="1"/>
  <c r="K13" i="3"/>
  <c r="H14" i="3" s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B48" i="4"/>
  <c r="C48" i="4"/>
  <c r="D48" i="4"/>
  <c r="E48" i="4"/>
  <c r="F48" i="4"/>
  <c r="G48" i="4"/>
  <c r="H48" i="4"/>
  <c r="I48" i="4"/>
  <c r="B49" i="4"/>
  <c r="C49" i="4"/>
  <c r="D49" i="4"/>
  <c r="E49" i="4"/>
  <c r="F49" i="4"/>
  <c r="G49" i="4"/>
  <c r="H49" i="4"/>
  <c r="I49" i="4"/>
  <c r="B50" i="4"/>
  <c r="C50" i="4"/>
  <c r="D50" i="4"/>
  <c r="E50" i="4"/>
  <c r="F50" i="4"/>
  <c r="G50" i="4"/>
  <c r="H50" i="4"/>
  <c r="I50" i="4"/>
  <c r="B51" i="4"/>
  <c r="C51" i="4"/>
  <c r="D51" i="4"/>
  <c r="E51" i="4"/>
  <c r="F51" i="4"/>
  <c r="G51" i="4"/>
  <c r="H51" i="4"/>
  <c r="I51" i="4"/>
  <c r="B52" i="4"/>
  <c r="C52" i="4"/>
  <c r="D52" i="4"/>
  <c r="E52" i="4"/>
  <c r="F52" i="4"/>
  <c r="G52" i="4"/>
  <c r="H52" i="4"/>
  <c r="I52" i="4"/>
  <c r="B53" i="4"/>
  <c r="C53" i="4"/>
  <c r="D53" i="4"/>
  <c r="E53" i="4"/>
  <c r="F53" i="4"/>
  <c r="G53" i="4"/>
  <c r="H53" i="4"/>
  <c r="I53" i="4"/>
  <c r="B54" i="4"/>
  <c r="C54" i="4"/>
  <c r="D54" i="4"/>
  <c r="E54" i="4"/>
  <c r="F54" i="4"/>
  <c r="G54" i="4"/>
  <c r="H54" i="4"/>
  <c r="I54" i="4"/>
  <c r="B55" i="4"/>
  <c r="C55" i="4"/>
  <c r="D55" i="4"/>
  <c r="E55" i="4"/>
  <c r="F55" i="4"/>
  <c r="G55" i="4"/>
  <c r="H55" i="4"/>
  <c r="I55" i="4"/>
  <c r="B56" i="4"/>
  <c r="C56" i="4"/>
  <c r="D56" i="4"/>
  <c r="E56" i="4"/>
  <c r="F56" i="4"/>
  <c r="G56" i="4"/>
  <c r="H56" i="4"/>
  <c r="I56" i="4"/>
  <c r="B57" i="4"/>
  <c r="C57" i="4"/>
  <c r="D57" i="4"/>
  <c r="E57" i="4"/>
  <c r="F57" i="4"/>
  <c r="G57" i="4"/>
  <c r="H57" i="4"/>
  <c r="I57" i="4"/>
  <c r="B58" i="4"/>
  <c r="C58" i="4"/>
  <c r="D58" i="4"/>
  <c r="E58" i="4"/>
  <c r="F58" i="4"/>
  <c r="G58" i="4"/>
  <c r="H58" i="4"/>
  <c r="I58" i="4"/>
  <c r="B59" i="4"/>
  <c r="C59" i="4"/>
  <c r="D59" i="4"/>
  <c r="E59" i="4"/>
  <c r="F59" i="4"/>
  <c r="G59" i="4"/>
  <c r="H59" i="4"/>
  <c r="I59" i="4"/>
  <c r="B60" i="4"/>
  <c r="C60" i="4"/>
  <c r="D60" i="4"/>
  <c r="E60" i="4"/>
  <c r="F60" i="4"/>
  <c r="G60" i="4"/>
  <c r="H60" i="4"/>
  <c r="I60" i="4"/>
  <c r="B61" i="4"/>
  <c r="C61" i="4"/>
  <c r="D61" i="4"/>
  <c r="E61" i="4"/>
  <c r="F61" i="4"/>
  <c r="G61" i="4"/>
  <c r="H61" i="4"/>
  <c r="I61" i="4"/>
  <c r="B62" i="4"/>
  <c r="C62" i="4"/>
  <c r="D62" i="4"/>
  <c r="E62" i="4"/>
  <c r="F62" i="4"/>
  <c r="G62" i="4"/>
  <c r="H62" i="4"/>
  <c r="I62" i="4"/>
  <c r="B63" i="4"/>
  <c r="C63" i="4"/>
  <c r="D63" i="4"/>
  <c r="E63" i="4"/>
  <c r="F63" i="4"/>
  <c r="G63" i="4"/>
  <c r="H63" i="4"/>
  <c r="I63" i="4"/>
  <c r="B64" i="4"/>
  <c r="C64" i="4"/>
  <c r="D64" i="4"/>
  <c r="E64" i="4"/>
  <c r="F64" i="4"/>
  <c r="G64" i="4"/>
  <c r="H64" i="4"/>
  <c r="I64" i="4"/>
  <c r="B65" i="4"/>
  <c r="C65" i="4"/>
  <c r="D65" i="4"/>
  <c r="E65" i="4"/>
  <c r="F65" i="4"/>
  <c r="G65" i="4"/>
  <c r="H65" i="4"/>
  <c r="I65" i="4"/>
  <c r="B66" i="4"/>
  <c r="C66" i="4"/>
  <c r="D66" i="4"/>
  <c r="E66" i="4"/>
  <c r="F66" i="4"/>
  <c r="G66" i="4"/>
  <c r="H66" i="4"/>
  <c r="I66" i="4"/>
  <c r="B67" i="4"/>
  <c r="C67" i="4"/>
  <c r="D67" i="4"/>
  <c r="E67" i="4"/>
  <c r="F67" i="4"/>
  <c r="G67" i="4"/>
  <c r="H67" i="4"/>
  <c r="I67" i="4"/>
  <c r="B68" i="4"/>
  <c r="C68" i="4"/>
  <c r="D68" i="4"/>
  <c r="E68" i="4"/>
  <c r="F68" i="4"/>
  <c r="G68" i="4"/>
  <c r="H68" i="4"/>
  <c r="I68" i="4"/>
  <c r="B69" i="4"/>
  <c r="C69" i="4"/>
  <c r="D69" i="4"/>
  <c r="E69" i="4"/>
  <c r="F69" i="4"/>
  <c r="G69" i="4"/>
  <c r="H69" i="4"/>
  <c r="I69" i="4"/>
  <c r="B70" i="4"/>
  <c r="C70" i="4"/>
  <c r="D70" i="4"/>
  <c r="E70" i="4"/>
  <c r="F70" i="4"/>
  <c r="G70" i="4"/>
  <c r="H70" i="4"/>
  <c r="I70" i="4"/>
  <c r="B71" i="4"/>
  <c r="C71" i="4"/>
  <c r="D71" i="4"/>
  <c r="E71" i="4"/>
  <c r="F71" i="4"/>
  <c r="G71" i="4"/>
  <c r="H71" i="4"/>
  <c r="I71" i="4"/>
  <c r="B72" i="4"/>
  <c r="C72" i="4"/>
  <c r="D72" i="4"/>
  <c r="E72" i="4"/>
  <c r="F72" i="4"/>
  <c r="G72" i="4"/>
  <c r="H72" i="4"/>
  <c r="I72" i="4"/>
  <c r="B73" i="4"/>
  <c r="C73" i="4"/>
  <c r="D73" i="4"/>
  <c r="E73" i="4"/>
  <c r="F73" i="4"/>
  <c r="G73" i="4"/>
  <c r="H73" i="4"/>
  <c r="I73" i="4"/>
  <c r="B74" i="4"/>
  <c r="C74" i="4"/>
  <c r="D74" i="4"/>
  <c r="E74" i="4"/>
  <c r="F74" i="4"/>
  <c r="G74" i="4"/>
  <c r="H74" i="4"/>
  <c r="I74" i="4"/>
  <c r="B75" i="4"/>
  <c r="C75" i="4"/>
  <c r="D75" i="4"/>
  <c r="E75" i="4"/>
  <c r="F75" i="4"/>
  <c r="G75" i="4"/>
  <c r="H75" i="4"/>
  <c r="I75" i="4"/>
  <c r="B76" i="4"/>
  <c r="C76" i="4"/>
  <c r="D76" i="4"/>
  <c r="E76" i="4"/>
  <c r="F76" i="4"/>
  <c r="G76" i="4"/>
  <c r="H76" i="4"/>
  <c r="I76" i="4"/>
  <c r="B77" i="4"/>
  <c r="C77" i="4"/>
  <c r="D77" i="4"/>
  <c r="E77" i="4"/>
  <c r="F77" i="4"/>
  <c r="G77" i="4"/>
  <c r="H77" i="4"/>
  <c r="I77" i="4"/>
  <c r="B78" i="4"/>
  <c r="C78" i="4"/>
  <c r="D78" i="4"/>
  <c r="E78" i="4"/>
  <c r="F78" i="4"/>
  <c r="G78" i="4"/>
  <c r="H78" i="4"/>
  <c r="I78" i="4"/>
  <c r="B79" i="4"/>
  <c r="C79" i="4"/>
  <c r="D79" i="4"/>
  <c r="E79" i="4"/>
  <c r="F79" i="4"/>
  <c r="G79" i="4"/>
  <c r="H79" i="4"/>
  <c r="I79" i="4"/>
  <c r="B80" i="4"/>
  <c r="C80" i="4"/>
  <c r="D80" i="4"/>
  <c r="E80" i="4"/>
  <c r="F80" i="4"/>
  <c r="G80" i="4"/>
  <c r="H80" i="4"/>
  <c r="I80" i="4"/>
  <c r="B81" i="4"/>
  <c r="C81" i="4"/>
  <c r="D81" i="4"/>
  <c r="E81" i="4"/>
  <c r="F81" i="4"/>
  <c r="G81" i="4"/>
  <c r="H81" i="4"/>
  <c r="I81" i="4"/>
  <c r="B82" i="4"/>
  <c r="C82" i="4"/>
  <c r="D82" i="4"/>
  <c r="E82" i="4"/>
  <c r="F82" i="4"/>
  <c r="G82" i="4"/>
  <c r="H82" i="4"/>
  <c r="I82" i="4"/>
  <c r="B83" i="4"/>
  <c r="C83" i="4"/>
  <c r="D83" i="4"/>
  <c r="E83" i="4"/>
  <c r="F83" i="4"/>
  <c r="G83" i="4"/>
  <c r="H83" i="4"/>
  <c r="I83" i="4"/>
  <c r="B84" i="4"/>
  <c r="C84" i="4"/>
  <c r="D84" i="4"/>
  <c r="E84" i="4"/>
  <c r="F84" i="4"/>
  <c r="G84" i="4"/>
  <c r="H84" i="4"/>
  <c r="I84" i="4"/>
  <c r="B85" i="4"/>
  <c r="C85" i="4"/>
  <c r="D85" i="4"/>
  <c r="E85" i="4"/>
  <c r="F85" i="4"/>
  <c r="G85" i="4"/>
  <c r="H85" i="4"/>
  <c r="I85" i="4"/>
  <c r="B86" i="4"/>
  <c r="C86" i="4"/>
  <c r="D86" i="4"/>
  <c r="E86" i="4"/>
  <c r="F86" i="4"/>
  <c r="G86" i="4"/>
  <c r="H86" i="4"/>
  <c r="I86" i="4"/>
  <c r="B87" i="4"/>
  <c r="C87" i="4"/>
  <c r="D87" i="4"/>
  <c r="E87" i="4"/>
  <c r="F87" i="4"/>
  <c r="G87" i="4"/>
  <c r="H87" i="4"/>
  <c r="I87" i="4"/>
  <c r="B88" i="4"/>
  <c r="C88" i="4"/>
  <c r="D88" i="4"/>
  <c r="E88" i="4"/>
  <c r="F88" i="4"/>
  <c r="G88" i="4"/>
  <c r="H88" i="4"/>
  <c r="I88" i="4"/>
  <c r="B89" i="4"/>
  <c r="C89" i="4"/>
  <c r="D89" i="4"/>
  <c r="E89" i="4"/>
  <c r="F89" i="4"/>
  <c r="G89" i="4"/>
  <c r="H89" i="4"/>
  <c r="I89" i="4"/>
  <c r="B90" i="4"/>
  <c r="C90" i="4"/>
  <c r="D90" i="4"/>
  <c r="E90" i="4"/>
  <c r="F90" i="4"/>
  <c r="G90" i="4"/>
  <c r="H90" i="4"/>
  <c r="I90" i="4"/>
  <c r="B91" i="4"/>
  <c r="C91" i="4"/>
  <c r="D91" i="4"/>
  <c r="E91" i="4"/>
  <c r="F91" i="4"/>
  <c r="G91" i="4"/>
  <c r="H91" i="4"/>
  <c r="I91" i="4"/>
  <c r="B92" i="4"/>
  <c r="C92" i="4"/>
  <c r="D92" i="4"/>
  <c r="E92" i="4"/>
  <c r="F92" i="4"/>
  <c r="G92" i="4"/>
  <c r="H92" i="4"/>
  <c r="I92" i="4"/>
  <c r="B93" i="4"/>
  <c r="C93" i="4"/>
  <c r="D93" i="4"/>
  <c r="E93" i="4"/>
  <c r="F93" i="4"/>
  <c r="G93" i="4"/>
  <c r="H93" i="4"/>
  <c r="I93" i="4"/>
  <c r="B94" i="4"/>
  <c r="C94" i="4"/>
  <c r="D94" i="4"/>
  <c r="E94" i="4"/>
  <c r="F94" i="4"/>
  <c r="G94" i="4"/>
  <c r="H94" i="4"/>
  <c r="I94" i="4"/>
  <c r="B95" i="4"/>
  <c r="C95" i="4"/>
  <c r="D95" i="4"/>
  <c r="E95" i="4"/>
  <c r="F95" i="4"/>
  <c r="G95" i="4"/>
  <c r="H95" i="4"/>
  <c r="I95" i="4"/>
  <c r="B96" i="4"/>
  <c r="C96" i="4"/>
  <c r="D96" i="4"/>
  <c r="E96" i="4"/>
  <c r="F96" i="4"/>
  <c r="G96" i="4"/>
  <c r="H96" i="4"/>
  <c r="I96" i="4"/>
  <c r="B97" i="4"/>
  <c r="C97" i="4"/>
  <c r="D97" i="4"/>
  <c r="E97" i="4"/>
  <c r="F97" i="4"/>
  <c r="G97" i="4"/>
  <c r="H97" i="4"/>
  <c r="I97" i="4"/>
  <c r="B98" i="4"/>
  <c r="C98" i="4"/>
  <c r="D98" i="4"/>
  <c r="E98" i="4"/>
  <c r="F98" i="4"/>
  <c r="G98" i="4"/>
  <c r="H98" i="4"/>
  <c r="I98" i="4"/>
  <c r="B99" i="4"/>
  <c r="C99" i="4"/>
  <c r="D99" i="4"/>
  <c r="E99" i="4"/>
  <c r="F99" i="4"/>
  <c r="G99" i="4"/>
  <c r="H99" i="4"/>
  <c r="I99" i="4"/>
  <c r="B100" i="4"/>
  <c r="C100" i="4"/>
  <c r="D100" i="4"/>
  <c r="E100" i="4"/>
  <c r="F100" i="4"/>
  <c r="G100" i="4"/>
  <c r="H100" i="4"/>
  <c r="I100" i="4"/>
  <c r="B101" i="4"/>
  <c r="C101" i="4"/>
  <c r="D101" i="4"/>
  <c r="E101" i="4"/>
  <c r="F101" i="4"/>
  <c r="G101" i="4"/>
  <c r="H101" i="4"/>
  <c r="I101" i="4"/>
  <c r="B102" i="4"/>
  <c r="C102" i="4"/>
  <c r="D102" i="4"/>
  <c r="E102" i="4"/>
  <c r="F102" i="4"/>
  <c r="G102" i="4"/>
  <c r="H102" i="4"/>
  <c r="I102" i="4"/>
  <c r="B103" i="4"/>
  <c r="C103" i="4"/>
  <c r="D103" i="4"/>
  <c r="E103" i="4"/>
  <c r="F103" i="4"/>
  <c r="G103" i="4"/>
  <c r="H103" i="4"/>
  <c r="I103" i="4"/>
  <c r="B104" i="4"/>
  <c r="C104" i="4"/>
  <c r="D104" i="4"/>
  <c r="E104" i="4"/>
  <c r="F104" i="4"/>
  <c r="G104" i="4"/>
  <c r="H104" i="4"/>
  <c r="I104" i="4"/>
  <c r="B105" i="4"/>
  <c r="C105" i="4"/>
  <c r="D105" i="4"/>
  <c r="E105" i="4"/>
  <c r="F105" i="4"/>
  <c r="G105" i="4"/>
  <c r="H105" i="4"/>
  <c r="I105" i="4"/>
  <c r="B106" i="4"/>
  <c r="C106" i="4"/>
  <c r="D106" i="4"/>
  <c r="E106" i="4"/>
  <c r="F106" i="4"/>
  <c r="G106" i="4"/>
  <c r="H106" i="4"/>
  <c r="I106" i="4"/>
  <c r="B107" i="4"/>
  <c r="C107" i="4"/>
  <c r="D107" i="4"/>
  <c r="E107" i="4"/>
  <c r="F107" i="4"/>
  <c r="G107" i="4"/>
  <c r="H107" i="4"/>
  <c r="I107" i="4"/>
  <c r="B108" i="4"/>
  <c r="C108" i="4"/>
  <c r="D108" i="4"/>
  <c r="E108" i="4"/>
  <c r="F108" i="4"/>
  <c r="G108" i="4"/>
  <c r="H108" i="4"/>
  <c r="I108" i="4"/>
  <c r="B10" i="4" l="1"/>
  <c r="C10" i="4"/>
  <c r="D10" i="4"/>
  <c r="E10" i="4"/>
  <c r="F10" i="4"/>
  <c r="B11" i="4"/>
  <c r="C11" i="4"/>
  <c r="D11" i="4"/>
  <c r="E11" i="4"/>
  <c r="F11" i="4"/>
  <c r="B12" i="4"/>
  <c r="C12" i="4"/>
  <c r="D12" i="4"/>
  <c r="E12" i="4"/>
  <c r="F12" i="4"/>
  <c r="B13" i="4"/>
  <c r="C13" i="4"/>
  <c r="D13" i="4"/>
  <c r="E13" i="4"/>
  <c r="F13" i="4"/>
  <c r="B14" i="4"/>
  <c r="C14" i="4"/>
  <c r="D14" i="4"/>
  <c r="E14" i="4"/>
  <c r="F14" i="4"/>
  <c r="B15" i="4"/>
  <c r="C15" i="4"/>
  <c r="D15" i="4"/>
  <c r="E15" i="4"/>
  <c r="F15" i="4"/>
  <c r="B16" i="4"/>
  <c r="C16" i="4"/>
  <c r="D16" i="4"/>
  <c r="E16" i="4"/>
  <c r="F16" i="4"/>
  <c r="B17" i="4"/>
  <c r="C17" i="4"/>
  <c r="D17" i="4"/>
  <c r="E17" i="4"/>
  <c r="F17" i="4"/>
  <c r="B18" i="4"/>
  <c r="C18" i="4"/>
  <c r="D18" i="4"/>
  <c r="E18" i="4"/>
  <c r="F18" i="4"/>
  <c r="B19" i="4"/>
  <c r="C19" i="4"/>
  <c r="D19" i="4"/>
  <c r="E19" i="4"/>
  <c r="F19" i="4"/>
  <c r="B20" i="4"/>
  <c r="C20" i="4"/>
  <c r="D20" i="4"/>
  <c r="E20" i="4"/>
  <c r="F20" i="4"/>
  <c r="B21" i="4"/>
  <c r="C21" i="4"/>
  <c r="D21" i="4"/>
  <c r="E21" i="4"/>
  <c r="F21" i="4"/>
  <c r="B22" i="4"/>
  <c r="C22" i="4"/>
  <c r="D22" i="4"/>
  <c r="E22" i="4"/>
  <c r="F22" i="4"/>
  <c r="B23" i="4"/>
  <c r="C23" i="4"/>
  <c r="D23" i="4"/>
  <c r="E23" i="4"/>
  <c r="F23" i="4"/>
  <c r="B24" i="4"/>
  <c r="C24" i="4"/>
  <c r="D24" i="4"/>
  <c r="E24" i="4"/>
  <c r="F24" i="4"/>
  <c r="B25" i="4"/>
  <c r="C25" i="4"/>
  <c r="D25" i="4"/>
  <c r="E25" i="4"/>
  <c r="F25" i="4"/>
  <c r="B26" i="4"/>
  <c r="C26" i="4"/>
  <c r="D26" i="4"/>
  <c r="E26" i="4"/>
  <c r="F26" i="4"/>
  <c r="B27" i="4"/>
  <c r="C27" i="4"/>
  <c r="D27" i="4"/>
  <c r="E27" i="4"/>
  <c r="F27" i="4"/>
  <c r="B28" i="4"/>
  <c r="C28" i="4"/>
  <c r="D28" i="4"/>
  <c r="E28" i="4"/>
  <c r="F28" i="4"/>
  <c r="B29" i="4"/>
  <c r="C29" i="4"/>
  <c r="D29" i="4"/>
  <c r="E29" i="4"/>
  <c r="F29" i="4"/>
  <c r="B30" i="4"/>
  <c r="C30" i="4"/>
  <c r="D30" i="4"/>
  <c r="E30" i="4"/>
  <c r="F30" i="4"/>
  <c r="E31" i="4"/>
  <c r="B31" i="4"/>
  <c r="F31" i="4"/>
  <c r="C31" i="4"/>
  <c r="D31" i="4"/>
  <c r="B32" i="4"/>
  <c r="C32" i="4"/>
  <c r="D32" i="4"/>
  <c r="E32" i="4"/>
  <c r="F32" i="4"/>
  <c r="C33" i="4"/>
  <c r="E33" i="4"/>
  <c r="B33" i="4"/>
  <c r="D33" i="4"/>
  <c r="F33" i="4"/>
  <c r="B34" i="4"/>
  <c r="C34" i="4"/>
  <c r="D34" i="4"/>
  <c r="E34" i="4"/>
  <c r="F34" i="4"/>
  <c r="D35" i="4"/>
  <c r="B35" i="4"/>
  <c r="C35" i="4"/>
  <c r="E35" i="4"/>
  <c r="F35" i="4"/>
  <c r="F36" i="4"/>
  <c r="E36" i="4"/>
  <c r="D36" i="4"/>
  <c r="C36" i="4"/>
  <c r="B36" i="4"/>
  <c r="D37" i="4"/>
  <c r="C37" i="4"/>
  <c r="B37" i="4"/>
  <c r="F37" i="4"/>
  <c r="E37" i="4"/>
  <c r="E38" i="4"/>
  <c r="F38" i="4"/>
  <c r="B38" i="4"/>
  <c r="C38" i="4"/>
  <c r="D38" i="4"/>
  <c r="C39" i="4"/>
  <c r="B39" i="4"/>
  <c r="D39" i="4"/>
  <c r="E39" i="4"/>
  <c r="F39" i="4"/>
  <c r="D40" i="4"/>
  <c r="B40" i="4"/>
  <c r="C40" i="4"/>
  <c r="E40" i="4"/>
  <c r="F40" i="4"/>
  <c r="D41" i="4"/>
  <c r="E41" i="4"/>
  <c r="C41" i="4"/>
  <c r="B41" i="4"/>
  <c r="F41" i="4"/>
  <c r="F42" i="4"/>
  <c r="D42" i="4"/>
  <c r="C42" i="4"/>
  <c r="B42" i="4"/>
  <c r="E42" i="4"/>
  <c r="B43" i="4"/>
  <c r="C43" i="4"/>
  <c r="D43" i="4"/>
  <c r="E43" i="4"/>
  <c r="F43" i="4"/>
  <c r="E44" i="4"/>
  <c r="F44" i="4"/>
  <c r="C44" i="4"/>
  <c r="B44" i="4"/>
  <c r="D44" i="4"/>
  <c r="B45" i="4"/>
  <c r="C45" i="4"/>
  <c r="D45" i="4"/>
  <c r="E45" i="4"/>
  <c r="F45" i="4"/>
  <c r="B46" i="4"/>
  <c r="C46" i="4"/>
  <c r="D46" i="4"/>
  <c r="E46" i="4"/>
  <c r="F46" i="4"/>
  <c r="D47" i="4"/>
  <c r="E47" i="4"/>
  <c r="F47" i="4"/>
  <c r="B47" i="4"/>
  <c r="C47" i="4"/>
  <c r="H10" i="4" l="1"/>
  <c r="G10" i="4"/>
  <c r="H11" i="4"/>
  <c r="G11" i="4"/>
  <c r="H12" i="4"/>
  <c r="G12" i="4"/>
  <c r="H13" i="4"/>
  <c r="G13" i="4"/>
  <c r="H14" i="4"/>
  <c r="G14" i="4"/>
  <c r="H15" i="4"/>
  <c r="G15" i="4"/>
  <c r="G16" i="4"/>
  <c r="H16" i="4"/>
  <c r="H17" i="4"/>
  <c r="G17" i="4"/>
  <c r="H18" i="4"/>
  <c r="G18" i="4"/>
  <c r="H19" i="4"/>
  <c r="G19" i="4"/>
  <c r="H20" i="4"/>
  <c r="G20" i="4"/>
  <c r="H21" i="4"/>
  <c r="G21" i="4"/>
  <c r="H22" i="4"/>
  <c r="G22" i="4"/>
  <c r="H23" i="4"/>
  <c r="G23" i="4"/>
  <c r="H24" i="4"/>
  <c r="G24" i="4"/>
  <c r="H25" i="4"/>
  <c r="G25" i="4"/>
  <c r="H26" i="4"/>
  <c r="G26" i="4"/>
  <c r="H27" i="4"/>
  <c r="G27" i="4"/>
  <c r="H28" i="4"/>
  <c r="G28" i="4"/>
  <c r="H29" i="4"/>
  <c r="G29" i="4"/>
  <c r="H30" i="4"/>
  <c r="G30" i="4"/>
  <c r="H31" i="4"/>
  <c r="G31" i="4"/>
  <c r="H32" i="4"/>
  <c r="G32" i="4"/>
  <c r="G33" i="4"/>
  <c r="H33" i="4"/>
  <c r="H34" i="4"/>
  <c r="G34" i="4"/>
  <c r="G35" i="4"/>
  <c r="H35" i="4"/>
  <c r="H36" i="4"/>
  <c r="G36" i="4"/>
  <c r="H37" i="4"/>
  <c r="G37" i="4"/>
  <c r="H38" i="4"/>
  <c r="G38" i="4"/>
  <c r="H39" i="4"/>
  <c r="G39" i="4"/>
  <c r="H40" i="4"/>
  <c r="G40" i="4"/>
  <c r="H41" i="4"/>
  <c r="G41" i="4"/>
  <c r="H42" i="4"/>
  <c r="G42" i="4"/>
  <c r="H43" i="4"/>
  <c r="G43" i="4"/>
  <c r="H44" i="4"/>
  <c r="G44" i="4"/>
  <c r="H45" i="4"/>
  <c r="G45" i="4"/>
  <c r="H46" i="4"/>
  <c r="G46" i="4"/>
  <c r="H47" i="4"/>
  <c r="G47" i="4"/>
</calcChain>
</file>

<file path=xl/sharedStrings.xml><?xml version="1.0" encoding="utf-8"?>
<sst xmlns="http://schemas.openxmlformats.org/spreadsheetml/2006/main" count="689" uniqueCount="460">
  <si>
    <t>BASE DE ALTAS RECIBIDAS · SOLICITUDES DE SEGUROS MASIVOS</t>
  </si>
  <si>
    <t>Datos simulados de 3 socios externos. A–I: datos recibidos · J–L: validación principal · M–O: auxiliares de RUT/auditoría · P–S: controles de completitud, catálogo, duplicidad y observaciones.</t>
  </si>
  <si>
    <t>ID_Solicitud</t>
  </si>
  <si>
    <t>Fecha_Recepcion</t>
  </si>
  <si>
    <t>Canal_Socio</t>
  </si>
  <si>
    <t>RUT_Asegurado</t>
  </si>
  <si>
    <t>Nombre_Asegurado</t>
  </si>
  <si>
    <t>Fecha_Nacimiento</t>
  </si>
  <si>
    <t>Edad_Calculada</t>
  </si>
  <si>
    <t>Plan_Solicitado</t>
  </si>
  <si>
    <t>Prima_Informada_CLP</t>
  </si>
  <si>
    <t>Prima_Oficial_PIMS</t>
  </si>
  <si>
    <t>Estado_Validacion</t>
  </si>
  <si>
    <t>Motivo_Rechazo</t>
  </si>
  <si>
    <t>RUT_Normalizado</t>
  </si>
  <si>
    <t>RUT_Valido</t>
  </si>
  <si>
    <t>Nro_Rechazo</t>
  </si>
  <si>
    <t>Control_Completitud</t>
  </si>
  <si>
    <t>Plan_Catalogado</t>
  </si>
  <si>
    <t>Control_ID</t>
  </si>
  <si>
    <t>Errores_Adicionales</t>
  </si>
  <si>
    <t>SEC-1001</t>
  </si>
  <si>
    <t>Socio_Retail_Gamma</t>
  </si>
  <si>
    <t>23.449.342-6</t>
  </si>
  <si>
    <t>Fernanda González Díaz</t>
  </si>
  <si>
    <t>Seguro Vida Senior</t>
  </si>
  <si>
    <t>SEC-1002</t>
  </si>
  <si>
    <t>CallCenter_Beta</t>
  </si>
  <si>
    <t>17.643.986-6</t>
  </si>
  <si>
    <t>Camila González Araya</t>
  </si>
  <si>
    <t>SEC-1003</t>
  </si>
  <si>
    <t>21.104.204-4</t>
  </si>
  <si>
    <t>Tomás Hernández Espinoza</t>
  </si>
  <si>
    <t>SEC-1004</t>
  </si>
  <si>
    <t>CallCenter_Alpha</t>
  </si>
  <si>
    <t>23.435.343-8</t>
  </si>
  <si>
    <t>Rodrigo Morales Hernández</t>
  </si>
  <si>
    <t>Seguro Enseres Hogar</t>
  </si>
  <si>
    <t>SEC-1005</t>
  </si>
  <si>
    <t>24.366.151-K</t>
  </si>
  <si>
    <t>Constanza Castillo Soto</t>
  </si>
  <si>
    <t>SEC-1006</t>
  </si>
  <si>
    <t>21.160.592-8</t>
  </si>
  <si>
    <t>Macarena Contreras Torres</t>
  </si>
  <si>
    <t>Seguro Salud Protegida</t>
  </si>
  <si>
    <t>SEC-1007</t>
  </si>
  <si>
    <t>23.781.720-6</t>
  </si>
  <si>
    <t>Paula Pérez Soto</t>
  </si>
  <si>
    <t>SEC-1008</t>
  </si>
  <si>
    <t>15.153.880-0</t>
  </si>
  <si>
    <t>Valentina López Sepúlveda</t>
  </si>
  <si>
    <t>SEC-1009</t>
  </si>
  <si>
    <t>14.839.703-1</t>
  </si>
  <si>
    <t>Ignacio Sepúlveda Hernández</t>
  </si>
  <si>
    <t>SEC-1010</t>
  </si>
  <si>
    <t>22.175.007-1</t>
  </si>
  <si>
    <t>Paula Araya Martínez</t>
  </si>
  <si>
    <t>SEC-1011</t>
  </si>
  <si>
    <t>6.164.612-7</t>
  </si>
  <si>
    <t>Macarena Morales Fuentes</t>
  </si>
  <si>
    <t>SEC-1012</t>
  </si>
  <si>
    <t>17.809.487-4</t>
  </si>
  <si>
    <t>Cristóbal Flores Tapia</t>
  </si>
  <si>
    <t>SEC-1013</t>
  </si>
  <si>
    <t>9.680.703-1</t>
  </si>
  <si>
    <t>Javiera Flores Espinoza</t>
  </si>
  <si>
    <t>SEC-1014</t>
  </si>
  <si>
    <t>14.995.966-1</t>
  </si>
  <si>
    <t>Francisca Díaz Martínez</t>
  </si>
  <si>
    <t>SEC-1015</t>
  </si>
  <si>
    <t>9.557.968-K</t>
  </si>
  <si>
    <t>Cristóbal Soto Castillo</t>
  </si>
  <si>
    <t>SEC-1016</t>
  </si>
  <si>
    <t>16.521.022-0</t>
  </si>
  <si>
    <t>Valentina Sepúlveda Morales</t>
  </si>
  <si>
    <t>SEC-1017</t>
  </si>
  <si>
    <t>8.109.871-9</t>
  </si>
  <si>
    <t>Javiera Fuentes González</t>
  </si>
  <si>
    <t>SEC-1018</t>
  </si>
  <si>
    <t>6.771.003-7</t>
  </si>
  <si>
    <t>Sebastián Tapia Flores</t>
  </si>
  <si>
    <t>SEC-1019</t>
  </si>
  <si>
    <t>21.302.321-0</t>
  </si>
  <si>
    <t>Daniela Valenzuela Contreras</t>
  </si>
  <si>
    <t>SEC-1020</t>
  </si>
  <si>
    <t>10.007.749-3</t>
  </si>
  <si>
    <t>Paula Tapia Martínez</t>
  </si>
  <si>
    <t>SEC-1021</t>
  </si>
  <si>
    <t>7.933.76S-K</t>
  </si>
  <si>
    <t>Daniela Sepúlveda Díaz</t>
  </si>
  <si>
    <t>SEC-1022</t>
  </si>
  <si>
    <t>16.699.921-2</t>
  </si>
  <si>
    <t>Constanza Flores Muñoz</t>
  </si>
  <si>
    <t>SEC-1023</t>
  </si>
  <si>
    <t>10.116.632-5</t>
  </si>
  <si>
    <t>Francisca Araya Rodríguez</t>
  </si>
  <si>
    <t>SEC-1024</t>
  </si>
  <si>
    <t>20.252.918-6</t>
  </si>
  <si>
    <t>Cristóbal Fuentes López</t>
  </si>
  <si>
    <t>SEC-1025</t>
  </si>
  <si>
    <t>13.367.388-1</t>
  </si>
  <si>
    <t>Camila Tapia Flores</t>
  </si>
  <si>
    <t>SEC-1026</t>
  </si>
  <si>
    <t>14.555.518-3</t>
  </si>
  <si>
    <t>Nicolás González González</t>
  </si>
  <si>
    <t>SEC-1027</t>
  </si>
  <si>
    <t>20.021.718-7</t>
  </si>
  <si>
    <t>Daniela Pérez Castillo</t>
  </si>
  <si>
    <t>SEC-1028</t>
  </si>
  <si>
    <t>7.275.364-K</t>
  </si>
  <si>
    <t>Paula Martínez Morales</t>
  </si>
  <si>
    <t>SEC-1029</t>
  </si>
  <si>
    <t>7.887.629-8</t>
  </si>
  <si>
    <t>Camila Castillo Silva</t>
  </si>
  <si>
    <t>SEC-1030</t>
  </si>
  <si>
    <t>23.066.463-3</t>
  </si>
  <si>
    <t>Fernanda Rodríguez Silva</t>
  </si>
  <si>
    <t>SEC-1031</t>
  </si>
  <si>
    <t>12.743.749-1</t>
  </si>
  <si>
    <t>Catalina Castillo Hernández</t>
  </si>
  <si>
    <t>SEC-1032</t>
  </si>
  <si>
    <t>12.304.954-3</t>
  </si>
  <si>
    <t>Ignacio Pérez Torres</t>
  </si>
  <si>
    <t>SEC-1033</t>
  </si>
  <si>
    <t>19.701.176-9</t>
  </si>
  <si>
    <t>Macarena Soto Rojas</t>
  </si>
  <si>
    <t>SEC-1034</t>
  </si>
  <si>
    <t>10.629.189-6</t>
  </si>
  <si>
    <t>Sebastián González Flores</t>
  </si>
  <si>
    <t>SEC-1035</t>
  </si>
  <si>
    <t>19.196.153-6</t>
  </si>
  <si>
    <t>Paula Castillo Tapia</t>
  </si>
  <si>
    <t>SEC-1036</t>
  </si>
  <si>
    <t>8.870.136-4</t>
  </si>
  <si>
    <t>Fernanda Morales Flores</t>
  </si>
  <si>
    <t>SEC-1037</t>
  </si>
  <si>
    <t>12.367.851-6</t>
  </si>
  <si>
    <t>Felipe Sepúlveda Flores</t>
  </si>
  <si>
    <t>SEC-1038</t>
  </si>
  <si>
    <t>19.039.651-7</t>
  </si>
  <si>
    <t>Macarena González Valenzuela</t>
  </si>
  <si>
    <t>SEC-1039</t>
  </si>
  <si>
    <t>179339064</t>
  </si>
  <si>
    <t>Camila Soto Morales</t>
  </si>
  <si>
    <t>SEC-1040</t>
  </si>
  <si>
    <t>6.953.552-6</t>
  </si>
  <si>
    <t>Paula Tapia Castillo</t>
  </si>
  <si>
    <t>SEC-1041</t>
  </si>
  <si>
    <t>18.347.914-8</t>
  </si>
  <si>
    <t>Diego Pérez Valenzuela</t>
  </si>
  <si>
    <t>SEC-1042</t>
  </si>
  <si>
    <t>9.565.798-2</t>
  </si>
  <si>
    <t>Tomás Díaz Rojas</t>
  </si>
  <si>
    <t>SEC-1043</t>
  </si>
  <si>
    <t>9.944.289-1</t>
  </si>
  <si>
    <t>Tomás Díaz Flores</t>
  </si>
  <si>
    <t>SEC-1044</t>
  </si>
  <si>
    <t>21.298.600-3</t>
  </si>
  <si>
    <t>Cristóbal Rojas Rojas</t>
  </si>
  <si>
    <t>SEC-1045</t>
  </si>
  <si>
    <t>14.902.124-8</t>
  </si>
  <si>
    <t>Nicolás Soto Morales</t>
  </si>
  <si>
    <t>SEC-1046</t>
  </si>
  <si>
    <t>16.827.801-2</t>
  </si>
  <si>
    <t>Pablo Torres López</t>
  </si>
  <si>
    <t>SEC-1047</t>
  </si>
  <si>
    <t>21.535.936-0</t>
  </si>
  <si>
    <t>Cristóbal Rodríguez Fuentes</t>
  </si>
  <si>
    <t>SEC-1048</t>
  </si>
  <si>
    <t>11.180.084-7</t>
  </si>
  <si>
    <t>Carolina Tapia Pérez</t>
  </si>
  <si>
    <t>SEC-1049</t>
  </si>
  <si>
    <t>9.954.258-6</t>
  </si>
  <si>
    <t>Catalina Martínez Pérez</t>
  </si>
  <si>
    <t>SEC-1050</t>
  </si>
  <si>
    <t>17.132.408-4</t>
  </si>
  <si>
    <t>Sebastián Martínez Sepúlveda</t>
  </si>
  <si>
    <t>SEC-1051</t>
  </si>
  <si>
    <t>19.403.328-1</t>
  </si>
  <si>
    <t>Daniela Tapia Fuentes</t>
  </si>
  <si>
    <t>SEC-1052</t>
  </si>
  <si>
    <t>24.334.517-0</t>
  </si>
  <si>
    <t>Ignacio Rodríguez Castillo</t>
  </si>
  <si>
    <t>SEC-1053</t>
  </si>
  <si>
    <t>11.803.892-7</t>
  </si>
  <si>
    <t>Javiera Pérez Morales</t>
  </si>
  <si>
    <t>SEC-1054</t>
  </si>
  <si>
    <t>22.204.029-9</t>
  </si>
  <si>
    <t>Matías Silva Castillo</t>
  </si>
  <si>
    <t>SEC-1055</t>
  </si>
  <si>
    <t>6.596.868-1</t>
  </si>
  <si>
    <t>Catalina Araya Martínez</t>
  </si>
  <si>
    <t>SEC-1056</t>
  </si>
  <si>
    <t>12.296.576-7</t>
  </si>
  <si>
    <t>Camila Díaz Pérez</t>
  </si>
  <si>
    <t>SEC-1057</t>
  </si>
  <si>
    <t>12.924.659-6</t>
  </si>
  <si>
    <t>Joaquín Sepúlveda Rojas</t>
  </si>
  <si>
    <t>SEC-1058</t>
  </si>
  <si>
    <t>10.471.214-2</t>
  </si>
  <si>
    <t>Javiera Fuentes Muñoz</t>
  </si>
  <si>
    <t>SEC-1059</t>
  </si>
  <si>
    <t>13.762.951-8</t>
  </si>
  <si>
    <t>Tomás Tapia Tapia</t>
  </si>
  <si>
    <t>SEC-1060</t>
  </si>
  <si>
    <t>16.664.212-4</t>
  </si>
  <si>
    <t>Javiera Torres Morales</t>
  </si>
  <si>
    <t>SEC-1061</t>
  </si>
  <si>
    <t>10.470.601-0</t>
  </si>
  <si>
    <t>Cristóbal Martínez Hernández</t>
  </si>
  <si>
    <t>SEC-1062</t>
  </si>
  <si>
    <t>23.189.725-9</t>
  </si>
  <si>
    <t>Fernanda Sepúlveda Contreras</t>
  </si>
  <si>
    <t>SEC-1063</t>
  </si>
  <si>
    <t>8.166.082-4</t>
  </si>
  <si>
    <t>Macarena Tapia Araya</t>
  </si>
  <si>
    <t>SEC-1064</t>
  </si>
  <si>
    <t>22.193.275-7</t>
  </si>
  <si>
    <t>Paula Araya Valenzuela</t>
  </si>
  <si>
    <t>SEC-1065</t>
  </si>
  <si>
    <t>17.395.395-K</t>
  </si>
  <si>
    <t>Valentina Flores Soto</t>
  </si>
  <si>
    <t>SEC-1066</t>
  </si>
  <si>
    <t>23.466.499-9</t>
  </si>
  <si>
    <t>Macarena Díaz Valenzuela</t>
  </si>
  <si>
    <t>SEC-1067</t>
  </si>
  <si>
    <t>14.083.105-0</t>
  </si>
  <si>
    <t>Paula Araya Pérez</t>
  </si>
  <si>
    <t>SEC-1068</t>
  </si>
  <si>
    <t>22.394.144-3</t>
  </si>
  <si>
    <t>Pablo Morales Rodríguez</t>
  </si>
  <si>
    <t>SEC-1069</t>
  </si>
  <si>
    <t>11100031K</t>
  </si>
  <si>
    <t>Pablo Espinoza Muñoz</t>
  </si>
  <si>
    <t>SEC-1070</t>
  </si>
  <si>
    <t>16.044.267-0</t>
  </si>
  <si>
    <t>Joaquín Pérez Martínez</t>
  </si>
  <si>
    <t>SEC-1071</t>
  </si>
  <si>
    <t>21.344.246-5</t>
  </si>
  <si>
    <t>Matías Soto Tapia</t>
  </si>
  <si>
    <t>SEC-1072</t>
  </si>
  <si>
    <t>24.323.082-9</t>
  </si>
  <si>
    <t>Felipe Silva Araya</t>
  </si>
  <si>
    <t>SEC-1073</t>
  </si>
  <si>
    <t>21.624.280-7</t>
  </si>
  <si>
    <t>Ignacio Pérez Morales</t>
  </si>
  <si>
    <t>SEC-1074</t>
  </si>
  <si>
    <t>21.798.678-1</t>
  </si>
  <si>
    <t>Cristóbal Espinoza Martínez</t>
  </si>
  <si>
    <t>SEC-1075</t>
  </si>
  <si>
    <t>114965650</t>
  </si>
  <si>
    <t>Valentina Fuentes Tapia</t>
  </si>
  <si>
    <t>SEC-1076</t>
  </si>
  <si>
    <t>14.090.671-9</t>
  </si>
  <si>
    <t>Tomás Contreras Rodríguez</t>
  </si>
  <si>
    <t>SEC-1077</t>
  </si>
  <si>
    <t>20.199.481-0</t>
  </si>
  <si>
    <t>Cristóbal Contreras Sepúlveda</t>
  </si>
  <si>
    <t>SEC-1078</t>
  </si>
  <si>
    <t>22.166.750-6</t>
  </si>
  <si>
    <t>Constanza Contreras Díaz</t>
  </si>
  <si>
    <t>SEC-1079</t>
  </si>
  <si>
    <t>9.863.692-7</t>
  </si>
  <si>
    <t>Macarena Fuentes Contreras</t>
  </si>
  <si>
    <t>SEC-1080</t>
  </si>
  <si>
    <t>15.017.131-8</t>
  </si>
  <si>
    <t>Cristóbal López González</t>
  </si>
  <si>
    <t>SEC-1081</t>
  </si>
  <si>
    <t>15.163.246-7</t>
  </si>
  <si>
    <t>Tomás Pérez Díaz</t>
  </si>
  <si>
    <t>SEC-1082</t>
  </si>
  <si>
    <t>18.045.863-8</t>
  </si>
  <si>
    <t>Rodrigo Castillo Espinoza</t>
  </si>
  <si>
    <t>SEC-1083</t>
  </si>
  <si>
    <t>14.551.568-8</t>
  </si>
  <si>
    <t>Valentina Hernández Hernández</t>
  </si>
  <si>
    <t>SEC-1084</t>
  </si>
  <si>
    <t>23.794.292-2</t>
  </si>
  <si>
    <t>Felipe Muñoz Rojas</t>
  </si>
  <si>
    <t>SEC-1085</t>
  </si>
  <si>
    <t>23.704.577-7</t>
  </si>
  <si>
    <t>Carolina Díaz López</t>
  </si>
  <si>
    <t>SEC-1086</t>
  </si>
  <si>
    <t>22.060.178-1</t>
  </si>
  <si>
    <t>Francisca Morales Pérez</t>
  </si>
  <si>
    <t>SEC-1087</t>
  </si>
  <si>
    <t>9.082.266-7</t>
  </si>
  <si>
    <t>Javiera González Muñoz</t>
  </si>
  <si>
    <t>SEC-1088</t>
  </si>
  <si>
    <t>100156-2</t>
  </si>
  <si>
    <t>Tomás Silva Morales</t>
  </si>
  <si>
    <t>SEC-1089</t>
  </si>
  <si>
    <t>19.423.066-4</t>
  </si>
  <si>
    <t>Daniela Fuentes Muñoz</t>
  </si>
  <si>
    <t>SEC-1090</t>
  </si>
  <si>
    <t>20.714.387-1</t>
  </si>
  <si>
    <t>Sebastián Espinoza Torres</t>
  </si>
  <si>
    <t>SEC-1091</t>
  </si>
  <si>
    <t>23.780.964-5</t>
  </si>
  <si>
    <t>Constanza López Muñoz</t>
  </si>
  <si>
    <t>SEC-1092</t>
  </si>
  <si>
    <t>15.887.562-4</t>
  </si>
  <si>
    <t>Paula Morales Martínez</t>
  </si>
  <si>
    <t>SEC-1093</t>
  </si>
  <si>
    <t>17.860.477-5</t>
  </si>
  <si>
    <t>Paula Soto Araya</t>
  </si>
  <si>
    <t>SEC-1094</t>
  </si>
  <si>
    <t>13.274.667-2</t>
  </si>
  <si>
    <t>Joaquín Hernández López</t>
  </si>
  <si>
    <t>SEC-1095</t>
  </si>
  <si>
    <t>19.452.536-2</t>
  </si>
  <si>
    <t>Nicolás Contreras Muñoz</t>
  </si>
  <si>
    <t>SEC-1096</t>
  </si>
  <si>
    <t>23.606.729-7</t>
  </si>
  <si>
    <t>Cristóbal Rojas Martínez</t>
  </si>
  <si>
    <t>SEC-1097</t>
  </si>
  <si>
    <t>9.881.89X-1</t>
  </si>
  <si>
    <t>Matías Rodríguez Hernández</t>
  </si>
  <si>
    <t>SEC-1098</t>
  </si>
  <si>
    <t>22.155.133-8</t>
  </si>
  <si>
    <t>Valentina Soto Castillo</t>
  </si>
  <si>
    <t>SEC-1099</t>
  </si>
  <si>
    <t>6.245.042-8</t>
  </si>
  <si>
    <t>Macarena Muñoz Torres</t>
  </si>
  <si>
    <t>SEC-1100</t>
  </si>
  <si>
    <t>24.369.498-1</t>
  </si>
  <si>
    <t>Carolina Flores Silva</t>
  </si>
  <si>
    <t>CATÁLOGO DE PLANES · TARIFA OFICIAL PIMS</t>
  </si>
  <si>
    <t>Matriz de referencia del sistema PIMS. Las pestañas Base y Dashboard consultan estos valores por fórmula.</t>
  </si>
  <si>
    <t>Codigo_Plan</t>
  </si>
  <si>
    <t>Nombre_Plan</t>
  </si>
  <si>
    <t>Prima_Oficial_CLP</t>
  </si>
  <si>
    <t>Edad_Minima</t>
  </si>
  <si>
    <t>Edad_Maxima</t>
  </si>
  <si>
    <t>Cobertura_Principal</t>
  </si>
  <si>
    <t>PLN-SAL-01</t>
  </si>
  <si>
    <t>Hospitalización, urgencias y cirugías por enfermedad o accidente</t>
  </si>
  <si>
    <t>PLN-VID-02</t>
  </si>
  <si>
    <t>Fallecimiento por cualquier causa y gastos de sepelio</t>
  </si>
  <si>
    <t>PLN-HOG-03</t>
  </si>
  <si>
    <t>Robo, incendio y daños por agua de los bienes del hogar</t>
  </si>
  <si>
    <t>Notas: (1) Prima mensual en pesos chilenos (valores simulados para el ejercicio). (2) El rango asegurable 18–65 años aplica a todos los planes, tal como define el caso; el nombre 'Vida Senior' es solo comercial. (3) Para cambiar una tarifa o un rango de edad, edite esta tabla: la validación de la Base se recalcula sola.</t>
  </si>
  <si>
    <t>DASHBOARD DE CUADRATURA DIARIA · SUSCRIPCIÓN MASIVOS Y CONTROL PIMS</t>
  </si>
  <si>
    <t>Jefatura de Suscripción y Socios Comerciales · Datos simulados · Fecha de corte (HOY):</t>
  </si>
  <si>
    <t>TOTAL ALTAS RECIBIDAS</t>
  </si>
  <si>
    <t>TOTAL ALTAS APROBADAS</t>
  </si>
  <si>
    <t>TOTAL ALTAS RECHAZADAS</t>
  </si>
  <si>
    <t>TASA DE EFECTIVIDAD</t>
  </si>
  <si>
    <t>PRIMA TOTAL SUSCRITA APROBADA</t>
  </si>
  <si>
    <t>Solicitudes en la base</t>
  </si>
  <si>
    <t>Listas para cargar a PIMS</t>
  </si>
  <si>
    <t>Con observaciones</t>
  </si>
  <si>
    <t>Aprobadas ÷ Recibidas</t>
  </si>
  <si>
    <t>Suma de prima informada de aprobadas</t>
  </si>
  <si>
    <t>RESUMEN POR CANAL / SOCIO Y CAUSA RAÍZ DE RECHAZO</t>
  </si>
  <si>
    <t>Total Recibidos</t>
  </si>
  <si>
    <t>Aprobados</t>
  </si>
  <si>
    <t>Rechazados Datos Incompletos</t>
  </si>
  <si>
    <t>Rechazados ID Duplicado</t>
  </si>
  <si>
    <t>Rechazados Plan No Catalogado</t>
  </si>
  <si>
    <t>Rechazados Elegibilidad</t>
  </si>
  <si>
    <t>Rechazados RUT Inválido</t>
  </si>
  <si>
    <t>Rechazados Descalce Prima</t>
  </si>
  <si>
    <t>Total Rechazados</t>
  </si>
  <si>
    <t>% Efectividad</t>
  </si>
  <si>
    <t>Prima Aprobada (CLP)</t>
  </si>
  <si>
    <t>% del Total Recibido</t>
  </si>
  <si>
    <t>TOTAL</t>
  </si>
  <si>
    <t>Control de cuadratura: Aprobados + Rechazados = Total Recibido (tabla) = Total en base</t>
  </si>
  <si>
    <t>Prioridad de reglas: 1) Datos obligatorios y fechas/prima válidas · 2) ID duplicado · 3) Plan existente en catálogo · 4) Elegibilidad según catálogo · 5) RUT válido por módulo 11 · 6) Cuadratura de prima. Cada solicitud se clasifica por la primera causa que falla; los errores adicionales se conservan en Base_Altas_Recibidas para revisión. Los datos y las reglas son simulados y deben validarse contra condiciones reales del producto.</t>
  </si>
  <si>
    <t>REPORTE DE HALLAZGOS Y AUDITORÍA DE SUSCRIPCIÓN · SISTEMA PIMS</t>
  </si>
  <si>
    <t>Altas que no superaron los controles de calidad. Reporte dinámico alimentado desde la base; cada solicitud aparece una sola vez con su causa principal.</t>
  </si>
  <si>
    <t>TOTAL REGISTROS AUDITADOS</t>
  </si>
  <si>
    <t>RECHAZOS POR ELEGIBILIDAD</t>
  </si>
  <si>
    <t>RECHAZOS POR RUT INVÁLIDO</t>
  </si>
  <si>
    <t>RECHAZOS POR DESCALCE DE PRIMA</t>
  </si>
  <si>
    <t>CONTROL DE CUADRATURA</t>
  </si>
  <si>
    <t>OTRAS CAUSAS DE RECHAZO</t>
  </si>
  <si>
    <t>Altas rechazadas en la base</t>
  </si>
  <si>
    <t>Edad fuera de 18-65 años</t>
  </si>
  <si>
    <t>Formato o dígito verificador M11</t>
  </si>
  <si>
    <t>Prima distinta a la tarifa oficial</t>
  </si>
  <si>
    <t>Suma de causas = total = Dashboard</t>
  </si>
  <si>
    <t>Datos incompletos, ID duplicado o plan inexistente</t>
  </si>
  <si>
    <t>DETALLE DE EXCEPCIONES POR REGISTRO RECHAZADO</t>
  </si>
  <si>
    <t>N°</t>
  </si>
  <si>
    <t>Causa_Raiz</t>
  </si>
  <si>
    <t>Detalle_Tecnico_Hallazgo</t>
  </si>
  <si>
    <t>Accion_Requerida_Socio</t>
  </si>
  <si>
    <t>Fila_Base (aux)</t>
  </si>
  <si>
    <t>Notas de control: el detalle admite hasta 100 rechazos (máximo posible en esta base). La cuadratura compara total rechazado, suma de causas, detalle de auditoría y dashboard. La causa principal sigue la prioridad documentada; los errores adicionales se conservan en la base. Este laboratorio usa datos sintéticos y supuestos de elegibilidad que deben confirmarse antes de cualquier uso real.</t>
  </si>
  <si>
    <t>PLAN DE PRUEBAS · LABORATORIO DE SUSCRIPCIÓN PIMS</t>
  </si>
  <si>
    <t>Hoja de evidencia: registra qué debe comprobarse antes de considerar fiable el archivo. Los resultados esperados se basan en las reglas simuladas.</t>
  </si>
  <si>
    <t>ID_Prueba</t>
  </si>
  <si>
    <t>Escenario</t>
  </si>
  <si>
    <t>Dato / acción de prueba</t>
  </si>
  <si>
    <t>Resultado esperado</t>
  </si>
  <si>
    <t>Resultado verificado</t>
  </si>
  <si>
    <t>T01</t>
  </si>
  <si>
    <t>RUT válido con DV numérico</t>
  </si>
  <si>
    <t>Ingresar un RUT válido conocido</t>
  </si>
  <si>
    <t>RUT_Valido = SI; no rechazar por RUT</t>
  </si>
  <si>
    <t>Pendiente de ejecución en Excel</t>
  </si>
  <si>
    <t>T02</t>
  </si>
  <si>
    <t>RUT válido con DV K</t>
  </si>
  <si>
    <t>Ingresar un RUT cuyo DV válido sea K</t>
  </si>
  <si>
    <t>RUT_Valido = SI</t>
  </si>
  <si>
    <t>T03</t>
  </si>
  <si>
    <t>RUT con DV incorrecto</t>
  </si>
  <si>
    <t>Cambiar solo el último carácter del DV</t>
  </si>
  <si>
    <t>RUT_Valido = NO; causa principal RUT inválido si no hay causas previas</t>
  </si>
  <si>
    <t>T04</t>
  </si>
  <si>
    <t>RUT sin guion o incompleto</t>
  </si>
  <si>
    <t>Quitar el guion o borrar un dígito</t>
  </si>
  <si>
    <t>RUT_Valido = NO</t>
  </si>
  <si>
    <t>T05</t>
  </si>
  <si>
    <t>Edad límite inferior</t>
  </si>
  <si>
    <t>Fecha de nacimiento que cumpla exactamente 18 años en la fecha de corte</t>
  </si>
  <si>
    <t>No rechazar por edad; evaluar controles posteriores</t>
  </si>
  <si>
    <t>T06</t>
  </si>
  <si>
    <t>Edad bajo el límite</t>
  </si>
  <si>
    <t>Fecha de nacimiento que resulte en 17 años cumplidos</t>
  </si>
  <si>
    <t>RECHAZADO_ELEGIBILIDAD</t>
  </si>
  <si>
    <t>T07</t>
  </si>
  <si>
    <t>Edad límite superior</t>
  </si>
  <si>
    <t>Fecha de nacimiento que cumpla exactamente 65 años en la fecha de corte</t>
  </si>
  <si>
    <t>T08</t>
  </si>
  <si>
    <t>Edad sobre el límite</t>
  </si>
  <si>
    <t>Fecha de nacimiento que resulte en 66 años cumplidos</t>
  </si>
  <si>
    <t>T09</t>
  </si>
  <si>
    <t>Prima descalzada</t>
  </si>
  <si>
    <t>Cambiar la prima informada respecto del catálogo</t>
  </si>
  <si>
    <t>RECHAZADO_DESCALCE_PRIMA si no hay causas previas</t>
  </si>
  <si>
    <t>T10</t>
  </si>
  <si>
    <t>Plan inexistente</t>
  </si>
  <si>
    <t>Cambiar el nombre del plan por uno no presente en catálogo</t>
  </si>
  <si>
    <t>RECHAZADO_PLAN_NO_CATALOGADO</t>
  </si>
  <si>
    <t>T11</t>
  </si>
  <si>
    <t>Campo obligatorio vacío</t>
  </si>
  <si>
    <t>Borrar nombre, fecha o prima en una copia de prueba</t>
  </si>
  <si>
    <t>RECHAZADO_DATOS_INCOMPLETOS</t>
  </si>
  <si>
    <t>T12</t>
  </si>
  <si>
    <t>ID duplicado</t>
  </si>
  <si>
    <t>Copiar un ID existente a otra fila</t>
  </si>
  <si>
    <t>RECHAZADO_ID_DUPLICADO para los registros afectados</t>
  </si>
  <si>
    <t>T13</t>
  </si>
  <si>
    <t>Cuadratura general</t>
  </si>
  <si>
    <t>Comparar aprobados + rechazados con total recibido y filas de auditoría</t>
  </si>
  <si>
    <t>Dashboard y auditoría muestran CUADRA OK</t>
  </si>
  <si>
    <t>T14</t>
  </si>
  <si>
    <t>Actualización dinámica</t>
  </si>
  <si>
    <t>Corregir una causa de rechazo en un registro de prueba</t>
  </si>
  <si>
    <t>Estado, KPI y auditoría se actualizan al recalcular</t>
  </si>
  <si>
    <t>SUPUESTOS QUE DEBEN CONFIRMARSE</t>
  </si>
  <si>
    <t>• Los rangos de edad se consultan en el catálogo; el ejemplo usa 18–65 para los tres planes, solo como supuesto.</t>
  </si>
  <si>
    <t>• Las tarifas son ficticias y no representan tarifas reales de ninguna aseguradora ni de PIMS.</t>
  </si>
  <si>
    <t>• Los datos personales son sintéticos y no deben reemplazarse por datos reales sin autorización y controles de privacidad.</t>
  </si>
  <si>
    <t>• El identificador de solicitud debe ser único. El laboratorio marca como duplicados todos los registros que compartan un ID.</t>
  </si>
  <si>
    <t>• El orden de causa principal es: datos incompletos/inválidos &gt; ID duplicado &gt; plan no catalogado &gt; elegibilidad &gt; RUT &gt; prima.</t>
  </si>
  <si>
    <t>• El reporte admite hasta 100 rechazos porque la base contiene 100 filas; si crece la base, deben ampliarse rangos y controles.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</si>
</sst>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\-mm\-yyyy"/>
    <numFmt numFmtId="165" formatCode="\$#,##0"/>
    <numFmt numFmtId="166" formatCode="m/d/yyyy"/>
    <numFmt numFmtId="167" formatCode="0.0%"/>
  </numFmts>
  <fonts count="20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ptos"/>
      <charset val="1"/>
    </font>
    <font>
      <sz val="10"/>
      <color rgb="FF000000"/>
      <name val="Arial"/>
      <charset val="1"/>
    </font>
    <font>
      <sz val="9"/>
      <color rgb="FF404040"/>
      <name val="Arial"/>
      <charset val="1"/>
    </font>
    <font>
      <b/>
      <sz val="10"/>
      <color rgb="FFFFFFFF"/>
      <name val="Arial"/>
      <charset val="1"/>
    </font>
    <font>
      <b/>
      <sz val="9"/>
      <color rgb="FF404040"/>
      <name val="Arial"/>
      <charset val="1"/>
    </font>
    <font>
      <b/>
      <sz val="8.5"/>
      <color rgb="FFFFFFFF"/>
      <name val="Arial"/>
      <charset val="1"/>
    </font>
    <font>
      <b/>
      <sz val="20"/>
      <color rgb="FF1F3864"/>
      <name val="Arial"/>
      <charset val="1"/>
    </font>
    <font>
      <i/>
      <sz val="8"/>
      <color rgb="FF40404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ptos"/>
      <charset val="1"/>
    </font>
    <font>
      <b/>
      <sz val="11"/>
      <color rgb="FF17365D"/>
      <name val="Cambria"/>
      <charset val="1"/>
    </font>
    <font>
      <b/>
      <sz val="11"/>
      <color rgb="FFFFFFFF"/>
      <name val="Cambria"/>
      <charset val="1"/>
    </font>
    <font>
      <b/>
      <sz val="16"/>
      <color rgb="FF1F3864"/>
      <name val="Arial"/>
      <charset val="1"/>
    </font>
    <font>
      <b/>
      <sz val="14"/>
      <color rgb="FF17365D"/>
      <name val="Cambria"/>
      <charset val="1"/>
    </font>
    <font>
      <sz val="10"/>
      <color rgb="FF404040"/>
      <name val="Arial"/>
      <charset val="1"/>
    </font>
    <font>
      <i/>
      <sz val="10"/>
      <color rgb="FF44546A"/>
      <name val="Cambria"/>
      <charset val="1"/>
    </font>
    <font>
      <b/>
      <sz val="14"/>
      <color rgb="FFFFFFFF"/>
      <name val="Cambria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7365D"/>
      </patternFill>
    </fill>
    <fill>
      <patternFill patternType="solid">
        <fgColor rgb="FF17365D"/>
        <bgColor rgb="FF1F3864"/>
      </patternFill>
    </fill>
    <fill>
      <patternFill patternType="solid">
        <fgColor rgb="FFEEF4FB"/>
        <bgColor rgb="FFF2F4F7"/>
      </patternFill>
    </fill>
    <fill>
      <patternFill patternType="solid">
        <fgColor rgb="FF2F5597"/>
        <bgColor rgb="FF1F4E78"/>
      </patternFill>
    </fill>
    <fill>
      <patternFill patternType="solid">
        <fgColor rgb="FF1F4E78"/>
        <bgColor rgb="FF2F5597"/>
      </patternFill>
    </fill>
    <fill>
      <patternFill patternType="solid">
        <fgColor rgb="FFD9EAF7"/>
        <bgColor rgb="FFDDEBF7"/>
      </patternFill>
    </fill>
    <fill>
      <patternFill patternType="solid">
        <fgColor rgb="FF404040"/>
        <bgColor rgb="FF44546A"/>
      </patternFill>
    </fill>
    <fill>
      <patternFill patternType="solid">
        <fgColor rgb="FFF7F9FC"/>
        <bgColor rgb="FFF2F4F7"/>
      </patternFill>
    </fill>
    <fill>
      <patternFill patternType="solid">
        <fgColor rgb="FFF2F4F7"/>
        <bgColor rgb="FFEEF4FB"/>
      </patternFill>
    </fill>
    <fill>
      <patternFill patternType="solid">
        <fgColor rgb="FFFFFFFF"/>
        <bgColor rgb="FFF7F9F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hair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3" fontId="9" fillId="4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/>
    <xf numFmtId="1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left"/>
    </xf>
    <xf numFmtId="0" fontId="12" fillId="3" borderId="2" xfId="0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right" vertical="center"/>
    </xf>
    <xf numFmtId="167" fontId="4" fillId="0" borderId="2" xfId="0" applyNumberFormat="1" applyFont="1" applyBorder="1" applyAlignment="1">
      <alignment horizontal="right" vertical="center"/>
    </xf>
    <xf numFmtId="0" fontId="3" fillId="6" borderId="2" xfId="0" applyFont="1" applyFill="1" applyBorder="1" applyAlignment="1">
      <alignment horizontal="center" vertical="center" wrapText="1"/>
    </xf>
    <xf numFmtId="10" fontId="3" fillId="6" borderId="2" xfId="0" applyNumberFormat="1" applyFont="1" applyFill="1" applyBorder="1" applyAlignment="1">
      <alignment horizontal="center" vertical="center" wrapText="1"/>
    </xf>
    <xf numFmtId="167" fontId="3" fillId="6" borderId="2" xfId="0" applyNumberFormat="1" applyFont="1" applyFill="1" applyBorder="1" applyAlignment="1">
      <alignment horizontal="center" vertical="center" wrapText="1"/>
    </xf>
    <xf numFmtId="165" fontId="3" fillId="6" borderId="2" xfId="0" applyNumberFormat="1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vertical="top"/>
    </xf>
    <xf numFmtId="0" fontId="4" fillId="9" borderId="3" xfId="0" applyFont="1" applyFill="1" applyBorder="1" applyAlignment="1">
      <alignment vertical="top"/>
    </xf>
    <xf numFmtId="0" fontId="4" fillId="9" borderId="3" xfId="0" applyFont="1" applyFill="1" applyBorder="1" applyAlignment="1">
      <alignment vertical="top" wrapText="1"/>
    </xf>
    <xf numFmtId="0" fontId="5" fillId="9" borderId="3" xfId="0" applyFont="1" applyFill="1" applyBorder="1" applyAlignment="1">
      <alignment vertical="top"/>
    </xf>
    <xf numFmtId="0" fontId="17" fillId="0" borderId="3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/>
    </xf>
    <xf numFmtId="0" fontId="14" fillId="6" borderId="0" xfId="0" applyFont="1" applyFill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9" borderId="4" xfId="0" applyFill="1" applyBorder="1" applyAlignment="1">
      <alignment vertical="top" wrapText="1"/>
    </xf>
    <xf numFmtId="0" fontId="10" fillId="4" borderId="2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indent="1"/>
    </xf>
    <xf numFmtId="0" fontId="18" fillId="1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indent="1"/>
    </xf>
    <xf numFmtId="0" fontId="8" fillId="2" borderId="2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3" fontId="9" fillId="4" borderId="2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167" fontId="9" fillId="4" borderId="2" xfId="0" applyNumberFormat="1" applyFont="1" applyFill="1" applyBorder="1" applyAlignment="1">
      <alignment horizontal="center" vertical="center" wrapText="1"/>
    </xf>
    <xf numFmtId="165" fontId="9" fillId="4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0" fillId="9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19" fillId="3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4" fillId="3" borderId="0" xfId="0" applyFont="1" applyFill="1"/>
  </cellXfs>
  <cellStyles count="1">
    <cellStyle name="Normal" xfId="0" builtinId="0"/>
  </cellStyles>
  <dxfs count="22">
    <dxf>
      <font>
        <b/>
        <sz val="16"/>
        <color rgb="FF9C2B23"/>
        <name val="Arial"/>
        <charset val="1"/>
      </font>
      <fill>
        <patternFill>
          <bgColor rgb="FFF8D7D4"/>
        </patternFill>
      </fill>
    </dxf>
    <dxf>
      <font>
        <b/>
        <sz val="16"/>
        <color rgb="FF2E6B2E"/>
        <name val="Arial"/>
        <charset val="1"/>
      </font>
      <fill>
        <patternFill>
          <bgColor rgb="FFDCEFD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ont>
        <b/>
        <color rgb="FF9C4A00"/>
        <name val="Arial"/>
        <charset val="1"/>
      </font>
      <fill>
        <patternFill>
          <bgColor rgb="FFFCE4D6"/>
        </patternFill>
      </fill>
    </dxf>
    <dxf>
      <font>
        <b/>
        <color rgb="FF9C2B23"/>
        <name val="Arial"/>
        <charset val="1"/>
      </font>
      <fill>
        <patternFill>
          <bgColor rgb="FFF8D7D4"/>
        </patternFill>
      </fill>
    </dxf>
    <dxf>
      <font>
        <b/>
        <color rgb="FF9C2B23"/>
        <name val="Arial"/>
        <charset val="1"/>
      </font>
      <fill>
        <patternFill>
          <bgColor rgb="FFF8D7D4"/>
        </patternFill>
      </fill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rgb="FFF8D7D4"/>
        </patternFill>
      </fill>
    </dxf>
    <dxf>
      <fill>
        <patternFill>
          <bgColor rgb="FFDCEFD6"/>
        </patternFill>
      </fill>
    </dxf>
    <dxf>
      <font>
        <b/>
        <color rgb="FF9C2B23"/>
        <name val="Arial"/>
        <charset val="1"/>
      </font>
      <fill>
        <patternFill>
          <bgColor rgb="FFF8D7D4"/>
        </patternFill>
      </fill>
    </dxf>
    <dxf>
      <font>
        <b/>
        <color rgb="FF2E6B2E"/>
        <name val="Arial"/>
        <charset val="1"/>
      </font>
      <fill>
        <patternFill>
          <bgColor rgb="FFDCEFD6"/>
        </patternFill>
      </fill>
    </dxf>
    <dxf>
      <fill>
        <patternFill>
          <bgColor rgb="FFFCE4D6"/>
        </patternFill>
      </fill>
    </dxf>
    <dxf>
      <font>
        <b/>
        <color rgb="FF9C2B23"/>
        <name val="Arial"/>
        <charset val="1"/>
      </font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ont>
        <b/>
        <color rgb="FF1F3864"/>
        <name val="Arial"/>
        <charset val="1"/>
      </font>
      <fill>
        <patternFill>
          <bgColor rgb="FFDDEBF7"/>
        </patternFill>
      </fill>
    </dxf>
    <dxf>
      <font>
        <b/>
        <color rgb="FF7F6000"/>
        <name val="Arial"/>
        <charset val="1"/>
      </font>
      <fill>
        <patternFill>
          <bgColor rgb="FFFFF2CC"/>
        </patternFill>
      </fill>
    </dxf>
    <dxf>
      <font>
        <b/>
        <color rgb="FF9C2B23"/>
        <name val="Arial"/>
        <charset val="1"/>
      </font>
      <fill>
        <patternFill>
          <bgColor rgb="FFF8D7D4"/>
        </patternFill>
      </fill>
    </dxf>
    <dxf>
      <font>
        <b/>
        <color rgb="FF2E6B2E"/>
        <name val="Arial"/>
        <charset val="1"/>
      </font>
      <fill>
        <patternFill>
          <bgColor rgb="FFDCEFD6"/>
        </patternFill>
      </fill>
    </dxf>
    <dxf>
      <font>
        <b/>
        <color rgb="FF9C2B23"/>
        <name val="Arial"/>
        <charset val="1"/>
      </font>
    </dxf>
  </dxfs>
  <tableStyles count="1" defaultTableStyle="TableStyleMedium2" defaultPivotStyle="PivotStyleLight16">
    <tableStyle name="Invisible" pivot="0" table="0" count="0" xr9:uid="{C3C5ABE8-FD21-4289-97AA-80C7884D1AFD}"/>
  </tableStyles>
  <colors>
    <indexedColors>
      <rgbColor rgb="FF000000"/>
      <rgbColor rgb="FFFFFFFF"/>
      <rgbColor rgb="FFFF0000"/>
      <rgbColor rgb="FF00FF00"/>
      <rgbColor rgb="FF0000FF"/>
      <rgbColor rgb="FFF2F4F7"/>
      <rgbColor rgb="FFFF00FF"/>
      <rgbColor rgb="FF00FFFF"/>
      <rgbColor rgb="FF800000"/>
      <rgbColor rgb="FF2E6B2E"/>
      <rgbColor rgb="FF000080"/>
      <rgbColor rgb="FF7F6000"/>
      <rgbColor rgb="FF800080"/>
      <rgbColor rgb="FF1F4E78"/>
      <rgbColor rgb="FFBFBFBF"/>
      <rgbColor rgb="FF878787"/>
      <rgbColor rgb="FF8FAADC"/>
      <rgbColor rgb="FF9C4A00"/>
      <rgbColor rgb="FFFFF2CC"/>
      <rgbColor rgb="FFD9EAF7"/>
      <rgbColor rgb="FF660066"/>
      <rgbColor rgb="FFFF8080"/>
      <rgbColor rgb="FF2F5597"/>
      <rgbColor rgb="FFD9D9D9"/>
      <rgbColor rgb="FF000080"/>
      <rgbColor rgb="FFFF00FF"/>
      <rgbColor rgb="FFF7F9FC"/>
      <rgbColor rgb="FF00FFFF"/>
      <rgbColor rgb="FF800080"/>
      <rgbColor rgb="FF800000"/>
      <rgbColor rgb="FF008080"/>
      <rgbColor rgb="FF0000FF"/>
      <rgbColor rgb="FF00CCFF"/>
      <rgbColor rgb="FFDDEBF7"/>
      <rgbColor rgb="FFDCEFD6"/>
      <rgbColor rgb="FFE2F0D9"/>
      <rgbColor rgb="FFD9E1F2"/>
      <rgbColor rgb="FFE8A09A"/>
      <rgbColor rgb="FFF8D7D4"/>
      <rgbColor rgb="FFF4CCCC"/>
      <rgbColor rgb="FF3366FF"/>
      <rgbColor rgb="FF33CCCC"/>
      <rgbColor rgb="FF99CC00"/>
      <rgbColor rgb="FFFCE4D6"/>
      <rgbColor rgb="FFFF9900"/>
      <rgbColor rgb="FFC55A11"/>
      <rgbColor rgb="FF44546A"/>
      <rgbColor rgb="FFEEF4FB"/>
      <rgbColor rgb="FF17365D"/>
      <rgbColor rgb="FF339966"/>
      <rgbColor rgb="FF003300"/>
      <rgbColor rgb="FF333300"/>
      <rgbColor rgb="FF9C2B23"/>
      <rgbColor rgb="FF993366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Aprobados vs Rechazados por Canal_Socio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Dashboard_Cuadratura_Diaria!$D$9</c:f>
              <c:strCache>
                <c:ptCount val="1"/>
                <c:pt idx="0">
                  <c:v>Aprobados</c:v>
                </c:pt>
              </c:strCache>
            </c:strRef>
          </c:tx>
          <c:spPr>
            <a:solidFill>
              <a:srgbClr val="8FAADC"/>
            </a:solidFill>
            <a:ln w="9360">
              <a:solidFill>
                <a:srgbClr val="8FAADC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Dashboard_Cuadratura_Diaria!$B$10:$B$12</c:f>
              <c:strCache>
                <c:ptCount val="3"/>
                <c:pt idx="0">
                  <c:v>CallCenter_Alpha</c:v>
                </c:pt>
                <c:pt idx="1">
                  <c:v>CallCenter_Beta</c:v>
                </c:pt>
                <c:pt idx="2">
                  <c:v>Socio_Retail_Gamma</c:v>
                </c:pt>
              </c:strCache>
            </c:strRef>
          </c:cat>
          <c:val>
            <c:numRef>
              <c:f>Dashboard_Cuadratura_Diaria!$D$10:$D$12</c:f>
              <c:numCache>
                <c:formatCode>#,##0</c:formatCode>
                <c:ptCount val="3"/>
                <c:pt idx="0">
                  <c:v>26</c:v>
                </c:pt>
                <c:pt idx="1">
                  <c:v>19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1-474C-9881-CDCAFFAC4179}"/>
            </c:ext>
          </c:extLst>
        </c:ser>
        <c:ser>
          <c:idx val="1"/>
          <c:order val="1"/>
          <c:tx>
            <c:strRef>
              <c:f>Dashboard_Cuadratura_Diaria!$K$9</c:f>
              <c:strCache>
                <c:ptCount val="1"/>
                <c:pt idx="0">
                  <c:v>Total Rechazados</c:v>
                </c:pt>
              </c:strCache>
            </c:strRef>
          </c:tx>
          <c:spPr>
            <a:solidFill>
              <a:srgbClr val="E8A09A"/>
            </a:solidFill>
            <a:ln w="9360">
              <a:solidFill>
                <a:srgbClr val="E8A09A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Dashboard_Cuadratura_Diaria!$B$10:$B$12</c:f>
              <c:strCache>
                <c:ptCount val="3"/>
                <c:pt idx="0">
                  <c:v>CallCenter_Alpha</c:v>
                </c:pt>
                <c:pt idx="1">
                  <c:v>CallCenter_Beta</c:v>
                </c:pt>
                <c:pt idx="2">
                  <c:v>Socio_Retail_Gamma</c:v>
                </c:pt>
              </c:strCache>
            </c:strRef>
          </c:cat>
          <c:val>
            <c:numRef>
              <c:f>Dashboard_Cuadratura_Diaria!$K$10:$K$12</c:f>
              <c:numCache>
                <c:formatCode>0.0%</c:formatCode>
                <c:ptCount val="3"/>
                <c:pt idx="0">
                  <c:v>17</c:v>
                </c:pt>
                <c:pt idx="1">
                  <c:v>11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F1-474C-9881-CDCAFFAC4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75079"/>
        <c:axId val="20590244"/>
      </c:barChart>
      <c:catAx>
        <c:axId val="55750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L"/>
          </a:p>
        </c:txPr>
        <c:crossAx val="20590244"/>
        <c:crosses val="autoZero"/>
        <c:auto val="1"/>
        <c:lblAlgn val="ctr"/>
        <c:lblOffset val="100"/>
        <c:noMultiLvlLbl val="0"/>
      </c:catAx>
      <c:valAx>
        <c:axId val="2059024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N° de altas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L"/>
          </a:p>
        </c:txPr>
        <c:crossAx val="55750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8</xdr:col>
      <xdr:colOff>604080</xdr:colOff>
      <xdr:row>32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S104"/>
  <sheetViews>
    <sheetView showGridLines="0" zoomScaleNormal="100" workbookViewId="0">
      <pane ySplit="4" topLeftCell="A15" activePane="bottomLeft" state="frozen"/>
      <selection pane="bottomLeft" activeCell="E15" sqref="E15"/>
    </sheetView>
  </sheetViews>
  <sheetFormatPr baseColWidth="10" defaultColWidth="8.7109375" defaultRowHeight="15" customHeight="1" x14ac:dyDescent="0.25"/>
  <cols>
    <col min="1" max="2" width="15" customWidth="1"/>
    <col min="3" max="3" width="23" customWidth="1"/>
    <col min="4" max="4" width="18" customWidth="1"/>
    <col min="5" max="5" width="27" customWidth="1"/>
    <col min="6" max="6" width="16" customWidth="1"/>
    <col min="7" max="7" width="15" customWidth="1"/>
    <col min="8" max="8" width="27" customWidth="1"/>
    <col min="9" max="10" width="19" customWidth="1"/>
    <col min="11" max="11" width="31" customWidth="1"/>
    <col min="12" max="12" width="45" customWidth="1"/>
    <col min="13" max="13" width="20" customWidth="1"/>
    <col min="14" max="15" width="15" customWidth="1"/>
    <col min="16" max="16" width="24" customWidth="1"/>
    <col min="17" max="17" width="18" customWidth="1"/>
    <col min="18" max="18" width="17" customWidth="1"/>
    <col min="19" max="19" width="46" customWidth="1"/>
  </cols>
  <sheetData>
    <row r="1" spans="1:19" ht="31.5" customHeight="1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x14ac:dyDescent="0.25">
      <c r="A2" s="5" t="s">
        <v>1</v>
      </c>
    </row>
    <row r="4" spans="1:19" ht="36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</row>
    <row r="5" spans="1:19" x14ac:dyDescent="0.25">
      <c r="A5" s="7" t="s">
        <v>21</v>
      </c>
      <c r="B5" s="8">
        <v>46296</v>
      </c>
      <c r="C5" s="7" t="s">
        <v>22</v>
      </c>
      <c r="D5" s="9" t="s">
        <v>23</v>
      </c>
      <c r="E5" s="9" t="s">
        <v>24</v>
      </c>
      <c r="F5" s="8">
        <v>23571</v>
      </c>
      <c r="G5" s="10">
        <f t="shared" ref="G5:G36" ca="1" si="0">IF(OR(F5="",NOT(ISNUMBER(F5)),F5&gt;TODAY()),"",DATEDIF(F5,TODAY(),"Y"))</f>
        <v>62</v>
      </c>
      <c r="H5" s="7" t="s">
        <v>25</v>
      </c>
      <c r="I5" s="11">
        <v>18990</v>
      </c>
      <c r="J5" s="11">
        <f>IFERROR(INDEX(Catalogo_Planes_PIMS!$C$5:$C$7,MATCH(H5,Catalogo_Planes_PIMS!$B$5:$B$7,0)),"")</f>
        <v>18990</v>
      </c>
      <c r="K5" s="7" t="str">
        <f ca="1">IF(P5&lt;&gt;"OK","RECHAZADO_DATOS_INCOMPLETOS",IF(R5="DUPLICADO","RECHAZADO_ID_DUPLICADO",IF(Q5="NO","RECHAZADO_PLAN_NO_CATALOGADO",IF(OR(G5="",G5&lt;IFERROR(INDEX(Catalogo_Planes_PIMS!$D$5:$D$7,MATCH(H5,Catalogo_Planes_PIMS!$B$5:$B$7,0)),18),G5&gt;IFERROR(INDEX(Catalogo_Planes_PIMS!$E$5:$E$7,MATCH(H5,Catalogo_Planes_PIMS!$B$5:$B$7,0)),65)),"RECHAZADO_ELEGIBILIDAD",IF(N5="NO","RECHAZADO_RUT_INVALIDO",IF(OR(J5="",I5&lt;&gt;J5),"RECHAZADO_DESCALCE_PRIMA","APROBADO_CARGA_PIMS"))))))</f>
        <v>APROBADO_CARGA_PIMS</v>
      </c>
      <c r="L5" s="7" t="str">
        <f t="shared" ref="L5:L36" ca="1" si="1">IF(K5="APROBADO_CARGA_PIMS","Sin observaciones",IF(K5="RECHAZADO_DATOS_INCOMPLETOS","Campos obligatorios incompletos o dato inválido",IF(K5="RECHAZADO_ID_DUPLICADO","Identificador de solicitud duplicado",IF(K5="RECHAZADO_PLAN_NO_CATALOGADO","Plan solicitado no existe en catálogo PIMS",IF(K5="RECHAZADO_ELEGIBILIDAD","Edad fuera del rango definido en catálogo",IF(K5="RECHAZADO_RUT_INVALIDO","RUT con formato o dígito verificador inválido","Prima informada no coincide con tarifa oficial PIMS"))))))</f>
        <v>Sin observaciones</v>
      </c>
      <c r="M5" s="12" t="str">
        <f t="shared" ref="M5:M36" si="2">SUBSTITUTE(SUBSTITUTE(SUBSTITUTE(UPPER(TRIM(D5)),".",""),"-","")," ","")</f>
        <v>234493426</v>
      </c>
      <c r="N5" s="13" t="str">
        <f>IF(OR(D5="",ISERROR(FIND("-",TRIM(D5))),MID(TRIM(D5),LEN(TRIM(D5))-1,1)&lt;&gt;"-",LEN(M5)&lt;8,LEN(M5)&gt;9,NOT(ISNUMBER(--LEFT(M5,LEN(M5)-1))),NOT(OR(RIGHT(M5,1)="K",IFERROR(ISNUMBER(--RIGHT(M5,1)),FALSE())))),"NO",IF(RIGHT(M5,1)=MID("0K987654321",MOD(SUMPRODUCT(--MID(RIGHT("00000000"&amp;LEFT(M5,LEN(M5)-1),8),{1,2,3,4,5,6,7,8},1),{3,2,7,6,5,4,3,2}),11)+1,1),"SI","NO"))</f>
        <v>SI</v>
      </c>
      <c r="O5" s="13" t="str">
        <f ca="1">IF(LEFT(K5,9)="RECHAZADO",COUNTIF($K$5:K5,"RECHAZADO*"),"")</f>
        <v/>
      </c>
      <c r="P5" s="14" t="str">
        <f t="shared" ref="P5:P36" ca="1" si="3">IF(OR(A5="",B5="",C5="",D5="",E5="",F5="",H5="",I5=""),"INCOMPLETO",IF(OR(NOT(ISNUMBER(B5)),NOT(ISNUMBER(F5)),F5&gt;TODAY(),NOT(ISNUMBER(I5)),I5&lt;0),"DATO_INVALIDO","OK"))</f>
        <v>OK</v>
      </c>
      <c r="Q5" s="14" t="str">
        <f>IF(COUNTIF(Catalogo_Planes_PIMS!$B$5:$B$7,H5)=1,"SI","NO")</f>
        <v>SI</v>
      </c>
      <c r="R5" s="14" t="str">
        <f t="shared" ref="R5:R36" si="4">IF(A5="","",IF(COUNTIF($A$5:$A$104,A5)&gt;1,"DUPLICADO","OK"))</f>
        <v>OK</v>
      </c>
      <c r="S5" s="15" t="str">
        <f ca="1">IF(P5&lt;&gt;"OK","Revisar campos obligatorios, fechas y prima",IF(R5="DUPLICADO","ID_Solicitud duplicado",IF(Q5="NO","Plan no existe en catálogo",IF(AND(G5&lt;&gt;"",OR(G5&lt;IFERROR(INDEX(Catalogo_Planes_PIMS!$D$5:$D$7,MATCH(H5,Catalogo_Planes_PIMS!$B$5:$B$7,0)),18),G5&gt;IFERROR(INDEX(Catalogo_Planes_PIMS!$E$5:$E$7,MATCH(H5,Catalogo_Planes_PIMS!$B$5:$B$7,0)),65))),"Edad fuera de rango",IF(N5="NO","RUT inválido",IF(OR(J5="",I5&lt;&gt;J5),"Descalce de prima","Sin errores adicionales"))))))</f>
        <v>Sin errores adicionales</v>
      </c>
    </row>
    <row r="6" spans="1:19" x14ac:dyDescent="0.25">
      <c r="A6" s="7" t="s">
        <v>26</v>
      </c>
      <c r="B6" s="8">
        <v>46296</v>
      </c>
      <c r="C6" s="7" t="s">
        <v>27</v>
      </c>
      <c r="D6" s="9" t="s">
        <v>28</v>
      </c>
      <c r="E6" s="9" t="s">
        <v>29</v>
      </c>
      <c r="F6" s="8">
        <v>27636</v>
      </c>
      <c r="G6" s="10">
        <f t="shared" ca="1" si="0"/>
        <v>51</v>
      </c>
      <c r="H6" s="7" t="s">
        <v>25</v>
      </c>
      <c r="I6" s="11">
        <v>18990</v>
      </c>
      <c r="J6" s="11">
        <f>IFERROR(INDEX(Catalogo_Planes_PIMS!$C$5:$C$7,MATCH(H6,Catalogo_Planes_PIMS!$B$5:$B$7,0)),"")</f>
        <v>18990</v>
      </c>
      <c r="K6" s="7" t="str">
        <f ca="1">IF(P6&lt;&gt;"OK","RECHAZADO_DATOS_INCOMPLETOS",IF(R6="DUPLICADO","RECHAZADO_ID_DUPLICADO",IF(Q6="NO","RECHAZADO_PLAN_NO_CATALOGADO",IF(OR(G6="",G6&lt;IFERROR(INDEX(Catalogo_Planes_PIMS!$D$5:$D$7,MATCH(H6,Catalogo_Planes_PIMS!$B$5:$B$7,0)),18),G6&gt;IFERROR(INDEX(Catalogo_Planes_PIMS!$E$5:$E$7,MATCH(H6,Catalogo_Planes_PIMS!$B$5:$B$7,0)),65)),"RECHAZADO_ELEGIBILIDAD",IF(N6="NO","RECHAZADO_RUT_INVALIDO",IF(OR(J6="",I6&lt;&gt;J6),"RECHAZADO_DESCALCE_PRIMA","APROBADO_CARGA_PIMS"))))))</f>
        <v>APROBADO_CARGA_PIMS</v>
      </c>
      <c r="L6" s="7" t="str">
        <f t="shared" ca="1" si="1"/>
        <v>Sin observaciones</v>
      </c>
      <c r="M6" s="12" t="str">
        <f t="shared" si="2"/>
        <v>176439866</v>
      </c>
      <c r="N6" s="13" t="str">
        <f>IF(OR(D6="",ISERROR(FIND("-",TRIM(D6))),MID(TRIM(D6),LEN(TRIM(D6))-1,1)&lt;&gt;"-",LEN(M6)&lt;8,LEN(M6)&gt;9,NOT(ISNUMBER(--LEFT(M6,LEN(M6)-1))),NOT(OR(RIGHT(M6,1)="K",IFERROR(ISNUMBER(--RIGHT(M6,1)),FALSE())))),"NO",IF(RIGHT(M6,1)=MID("0K987654321",MOD(SUMPRODUCT(--MID(RIGHT("00000000"&amp;LEFT(M6,LEN(M6)-1),8),{1,2,3,4,5,6,7,8},1),{3,2,7,6,5,4,3,2}),11)+1,1),"SI","NO"))</f>
        <v>SI</v>
      </c>
      <c r="O6" s="13" t="str">
        <f ca="1">IF(LEFT(K6,9)="RECHAZADO",COUNTIF($K$5:K6,"RECHAZADO*"),"")</f>
        <v/>
      </c>
      <c r="P6" s="14" t="str">
        <f t="shared" ca="1" si="3"/>
        <v>OK</v>
      </c>
      <c r="Q6" s="14" t="str">
        <f>IF(COUNTIF(Catalogo_Planes_PIMS!$B$5:$B$7,H6)=1,"SI","NO")</f>
        <v>SI</v>
      </c>
      <c r="R6" s="14" t="str">
        <f t="shared" si="4"/>
        <v>OK</v>
      </c>
      <c r="S6" s="15" t="str">
        <f ca="1">IF(P6&lt;&gt;"OK","Revisar campos obligatorios, fechas y prima",IF(R6="DUPLICADO","ID_Solicitud duplicado",IF(Q6="NO","Plan no existe en catálogo",IF(AND(G6&lt;&gt;"",OR(G6&lt;IFERROR(INDEX(Catalogo_Planes_PIMS!$D$5:$D$7,MATCH(H6,Catalogo_Planes_PIMS!$B$5:$B$7,0)),18),G6&gt;IFERROR(INDEX(Catalogo_Planes_PIMS!$E$5:$E$7,MATCH(H6,Catalogo_Planes_PIMS!$B$5:$B$7,0)),65))),"Edad fuera de rango",IF(N6="NO","RUT inválido",IF(OR(J6="",I6&lt;&gt;J6),"Descalce de prima","Sin errores adicionales"))))))</f>
        <v>Sin errores adicionales</v>
      </c>
    </row>
    <row r="7" spans="1:19" x14ac:dyDescent="0.25">
      <c r="A7" s="7" t="s">
        <v>30</v>
      </c>
      <c r="B7" s="8">
        <v>46296</v>
      </c>
      <c r="C7" s="7" t="s">
        <v>22</v>
      </c>
      <c r="D7" s="9" t="s">
        <v>31</v>
      </c>
      <c r="E7" s="9" t="s">
        <v>32</v>
      </c>
      <c r="F7" s="8">
        <v>26047</v>
      </c>
      <c r="G7" s="10">
        <f t="shared" ca="1" si="0"/>
        <v>55</v>
      </c>
      <c r="H7" s="7" t="s">
        <v>25</v>
      </c>
      <c r="I7" s="11">
        <v>17990</v>
      </c>
      <c r="J7" s="11">
        <f>IFERROR(INDEX(Catalogo_Planes_PIMS!$C$5:$C$7,MATCH(H7,Catalogo_Planes_PIMS!$B$5:$B$7,0)),"")</f>
        <v>18990</v>
      </c>
      <c r="K7" s="7" t="str">
        <f ca="1">IF(P7&lt;&gt;"OK","RECHAZADO_DATOS_INCOMPLETOS",IF(R7="DUPLICADO","RECHAZADO_ID_DUPLICADO",IF(Q7="NO","RECHAZADO_PLAN_NO_CATALOGADO",IF(OR(G7="",G7&lt;IFERROR(INDEX(Catalogo_Planes_PIMS!$D$5:$D$7,MATCH(H7,Catalogo_Planes_PIMS!$B$5:$B$7,0)),18),G7&gt;IFERROR(INDEX(Catalogo_Planes_PIMS!$E$5:$E$7,MATCH(H7,Catalogo_Planes_PIMS!$B$5:$B$7,0)),65)),"RECHAZADO_ELEGIBILIDAD",IF(N7="NO","RECHAZADO_RUT_INVALIDO",IF(OR(J7="",I7&lt;&gt;J7),"RECHAZADO_DESCALCE_PRIMA","APROBADO_CARGA_PIMS"))))))</f>
        <v>RECHAZADO_DESCALCE_PRIMA</v>
      </c>
      <c r="L7" s="7" t="str">
        <f t="shared" ca="1" si="1"/>
        <v>Prima informada no coincide con tarifa oficial PIMS</v>
      </c>
      <c r="M7" s="12" t="str">
        <f t="shared" si="2"/>
        <v>211042044</v>
      </c>
      <c r="N7" s="13" t="str">
        <f>IF(OR(D7="",ISERROR(FIND("-",TRIM(D7))),MID(TRIM(D7),LEN(TRIM(D7))-1,1)&lt;&gt;"-",LEN(M7)&lt;8,LEN(M7)&gt;9,NOT(ISNUMBER(--LEFT(M7,LEN(M7)-1))),NOT(OR(RIGHT(M7,1)="K",IFERROR(ISNUMBER(--RIGHT(M7,1)),FALSE())))),"NO",IF(RIGHT(M7,1)=MID("0K987654321",MOD(SUMPRODUCT(--MID(RIGHT("00000000"&amp;LEFT(M7,LEN(M7)-1),8),{1,2,3,4,5,6,7,8},1),{3,2,7,6,5,4,3,2}),11)+1,1),"SI","NO"))</f>
        <v>SI</v>
      </c>
      <c r="O7" s="13">
        <f ca="1">IF(LEFT(K7,9)="RECHAZADO",COUNTIF($K$5:K7,"RECHAZADO*"),"")</f>
        <v>1</v>
      </c>
      <c r="P7" s="14" t="str">
        <f t="shared" ca="1" si="3"/>
        <v>OK</v>
      </c>
      <c r="Q7" s="14" t="str">
        <f>IF(COUNTIF(Catalogo_Planes_PIMS!$B$5:$B$7,H7)=1,"SI","NO")</f>
        <v>SI</v>
      </c>
      <c r="R7" s="14" t="str">
        <f t="shared" si="4"/>
        <v>OK</v>
      </c>
      <c r="S7" s="15" t="str">
        <f ca="1">IF(P7&lt;&gt;"OK","Revisar campos obligatorios, fechas y prima",IF(R7="DUPLICADO","ID_Solicitud duplicado",IF(Q7="NO","Plan no existe en catálogo",IF(AND(G7&lt;&gt;"",OR(G7&lt;IFERROR(INDEX(Catalogo_Planes_PIMS!$D$5:$D$7,MATCH(H7,Catalogo_Planes_PIMS!$B$5:$B$7,0)),18),G7&gt;IFERROR(INDEX(Catalogo_Planes_PIMS!$E$5:$E$7,MATCH(H7,Catalogo_Planes_PIMS!$B$5:$B$7,0)),65))),"Edad fuera de rango",IF(N7="NO","RUT inválido",IF(OR(J7="",I7&lt;&gt;J7),"Descalce de prima","Sin errores adicionales"))))))</f>
        <v>Descalce de prima</v>
      </c>
    </row>
    <row r="8" spans="1:19" x14ac:dyDescent="0.25">
      <c r="A8" s="7" t="s">
        <v>33</v>
      </c>
      <c r="B8" s="8">
        <v>46296</v>
      </c>
      <c r="C8" s="7" t="s">
        <v>34</v>
      </c>
      <c r="D8" s="9" t="s">
        <v>35</v>
      </c>
      <c r="E8" s="9" t="s">
        <v>36</v>
      </c>
      <c r="F8" s="8">
        <v>41454</v>
      </c>
      <c r="G8" s="10">
        <f t="shared" ca="1" si="0"/>
        <v>13</v>
      </c>
      <c r="H8" s="7" t="s">
        <v>37</v>
      </c>
      <c r="I8" s="11">
        <v>7990</v>
      </c>
      <c r="J8" s="11">
        <f>IFERROR(INDEX(Catalogo_Planes_PIMS!$C$5:$C$7,MATCH(H8,Catalogo_Planes_PIMS!$B$5:$B$7,0)),"")</f>
        <v>7990</v>
      </c>
      <c r="K8" s="7" t="str">
        <f ca="1">IF(P8&lt;&gt;"OK","RECHAZADO_DATOS_INCOMPLETOS",IF(R8="DUPLICADO","RECHAZADO_ID_DUPLICADO",IF(Q8="NO","RECHAZADO_PLAN_NO_CATALOGADO",IF(OR(G8="",G8&lt;IFERROR(INDEX(Catalogo_Planes_PIMS!$D$5:$D$7,MATCH(H8,Catalogo_Planes_PIMS!$B$5:$B$7,0)),18),G8&gt;IFERROR(INDEX(Catalogo_Planes_PIMS!$E$5:$E$7,MATCH(H8,Catalogo_Planes_PIMS!$B$5:$B$7,0)),65)),"RECHAZADO_ELEGIBILIDAD",IF(N8="NO","RECHAZADO_RUT_INVALIDO",IF(OR(J8="",I8&lt;&gt;J8),"RECHAZADO_DESCALCE_PRIMA","APROBADO_CARGA_PIMS"))))))</f>
        <v>RECHAZADO_ELEGIBILIDAD</v>
      </c>
      <c r="L8" s="7" t="str">
        <f t="shared" ca="1" si="1"/>
        <v>Edad fuera del rango definido en catálogo</v>
      </c>
      <c r="M8" s="12" t="str">
        <f t="shared" si="2"/>
        <v>234353438</v>
      </c>
      <c r="N8" s="13" t="str">
        <f>IF(OR(D8="",ISERROR(FIND("-",TRIM(D8))),MID(TRIM(D8),LEN(TRIM(D8))-1,1)&lt;&gt;"-",LEN(M8)&lt;8,LEN(M8)&gt;9,NOT(ISNUMBER(--LEFT(M8,LEN(M8)-1))),NOT(OR(RIGHT(M8,1)="K",IFERROR(ISNUMBER(--RIGHT(M8,1)),FALSE())))),"NO",IF(RIGHT(M8,1)=MID("0K987654321",MOD(SUMPRODUCT(--MID(RIGHT("00000000"&amp;LEFT(M8,LEN(M8)-1),8),{1,2,3,4,5,6,7,8},1),{3,2,7,6,5,4,3,2}),11)+1,1),"SI","NO"))</f>
        <v>SI</v>
      </c>
      <c r="O8" s="13">
        <f ca="1">IF(LEFT(K8,9)="RECHAZADO",COUNTIF($K$5:K8,"RECHAZADO*"),"")</f>
        <v>2</v>
      </c>
      <c r="P8" s="14" t="str">
        <f t="shared" ca="1" si="3"/>
        <v>OK</v>
      </c>
      <c r="Q8" s="14" t="str">
        <f>IF(COUNTIF(Catalogo_Planes_PIMS!$B$5:$B$7,H8)=1,"SI","NO")</f>
        <v>SI</v>
      </c>
      <c r="R8" s="14" t="str">
        <f t="shared" si="4"/>
        <v>OK</v>
      </c>
      <c r="S8" s="15" t="str">
        <f ca="1">IF(P8&lt;&gt;"OK","Revisar campos obligatorios, fechas y prima",IF(R8="DUPLICADO","ID_Solicitud duplicado",IF(Q8="NO","Plan no existe en catálogo",IF(AND(G8&lt;&gt;"",OR(G8&lt;IFERROR(INDEX(Catalogo_Planes_PIMS!$D$5:$D$7,MATCH(H8,Catalogo_Planes_PIMS!$B$5:$B$7,0)),18),G8&gt;IFERROR(INDEX(Catalogo_Planes_PIMS!$E$5:$E$7,MATCH(H8,Catalogo_Planes_PIMS!$B$5:$B$7,0)),65))),"Edad fuera de rango",IF(N8="NO","RUT inválido",IF(OR(J8="",I8&lt;&gt;J8),"Descalce de prima","Sin errores adicionales"))))))</f>
        <v>Edad fuera de rango</v>
      </c>
    </row>
    <row r="9" spans="1:19" x14ac:dyDescent="0.25">
      <c r="A9" s="7" t="s">
        <v>38</v>
      </c>
      <c r="B9" s="8">
        <v>46296</v>
      </c>
      <c r="C9" s="7" t="s">
        <v>34</v>
      </c>
      <c r="D9" s="9" t="s">
        <v>39</v>
      </c>
      <c r="E9" s="9" t="s">
        <v>40</v>
      </c>
      <c r="F9" s="8">
        <v>32372</v>
      </c>
      <c r="G9" s="10">
        <f t="shared" ca="1" si="0"/>
        <v>38</v>
      </c>
      <c r="H9" s="7" t="s">
        <v>37</v>
      </c>
      <c r="I9" s="11">
        <v>7990</v>
      </c>
      <c r="J9" s="11">
        <f>IFERROR(INDEX(Catalogo_Planes_PIMS!$C$5:$C$7,MATCH(H9,Catalogo_Planes_PIMS!$B$5:$B$7,0)),"")</f>
        <v>7990</v>
      </c>
      <c r="K9" s="7" t="str">
        <f ca="1">IF(P9&lt;&gt;"OK","RECHAZADO_DATOS_INCOMPLETOS",IF(R9="DUPLICADO","RECHAZADO_ID_DUPLICADO",IF(Q9="NO","RECHAZADO_PLAN_NO_CATALOGADO",IF(OR(G9="",G9&lt;IFERROR(INDEX(Catalogo_Planes_PIMS!$D$5:$D$7,MATCH(H9,Catalogo_Planes_PIMS!$B$5:$B$7,0)),18),G9&gt;IFERROR(INDEX(Catalogo_Planes_PIMS!$E$5:$E$7,MATCH(H9,Catalogo_Planes_PIMS!$B$5:$B$7,0)),65)),"RECHAZADO_ELEGIBILIDAD",IF(N9="NO","RECHAZADO_RUT_INVALIDO",IF(OR(J9="",I9&lt;&gt;J9),"RECHAZADO_DESCALCE_PRIMA","APROBADO_CARGA_PIMS"))))))</f>
        <v>APROBADO_CARGA_PIMS</v>
      </c>
      <c r="L9" s="7" t="str">
        <f t="shared" ca="1" si="1"/>
        <v>Sin observaciones</v>
      </c>
      <c r="M9" s="12" t="str">
        <f t="shared" si="2"/>
        <v>24366151K</v>
      </c>
      <c r="N9" s="13" t="str">
        <f>IF(OR(D9="",ISERROR(FIND("-",TRIM(D9))),MID(TRIM(D9),LEN(TRIM(D9))-1,1)&lt;&gt;"-",LEN(M9)&lt;8,LEN(M9)&gt;9,NOT(ISNUMBER(--LEFT(M9,LEN(M9)-1))),NOT(OR(RIGHT(M9,1)="K",IFERROR(ISNUMBER(--RIGHT(M9,1)),FALSE())))),"NO",IF(RIGHT(M9,1)=MID("0K987654321",MOD(SUMPRODUCT(--MID(RIGHT("00000000"&amp;LEFT(M9,LEN(M9)-1),8),{1,2,3,4,5,6,7,8},1),{3,2,7,6,5,4,3,2}),11)+1,1),"SI","NO"))</f>
        <v>SI</v>
      </c>
      <c r="O9" s="13" t="str">
        <f ca="1">IF(LEFT(K9,9)="RECHAZADO",COUNTIF($K$5:K9,"RECHAZADO*"),"")</f>
        <v/>
      </c>
      <c r="P9" s="14" t="str">
        <f t="shared" ca="1" si="3"/>
        <v>OK</v>
      </c>
      <c r="Q9" s="14" t="str">
        <f>IF(COUNTIF(Catalogo_Planes_PIMS!$B$5:$B$7,H9)=1,"SI","NO")</f>
        <v>SI</v>
      </c>
      <c r="R9" s="14" t="str">
        <f t="shared" si="4"/>
        <v>OK</v>
      </c>
      <c r="S9" s="15" t="str">
        <f ca="1">IF(P9&lt;&gt;"OK","Revisar campos obligatorios, fechas y prima",IF(R9="DUPLICADO","ID_Solicitud duplicado",IF(Q9="NO","Plan no existe en catálogo",IF(AND(G9&lt;&gt;"",OR(G9&lt;IFERROR(INDEX(Catalogo_Planes_PIMS!$D$5:$D$7,MATCH(H9,Catalogo_Planes_PIMS!$B$5:$B$7,0)),18),G9&gt;IFERROR(INDEX(Catalogo_Planes_PIMS!$E$5:$E$7,MATCH(H9,Catalogo_Planes_PIMS!$B$5:$B$7,0)),65))),"Edad fuera de rango",IF(N9="NO","RUT inválido",IF(OR(J9="",I9&lt;&gt;J9),"Descalce de prima","Sin errores adicionales"))))))</f>
        <v>Sin errores adicionales</v>
      </c>
    </row>
    <row r="10" spans="1:19" x14ac:dyDescent="0.25">
      <c r="A10" s="7" t="s">
        <v>41</v>
      </c>
      <c r="B10" s="8">
        <v>46297</v>
      </c>
      <c r="C10" s="7" t="s">
        <v>22</v>
      </c>
      <c r="D10" s="9" t="s">
        <v>42</v>
      </c>
      <c r="E10" s="9" t="s">
        <v>43</v>
      </c>
      <c r="F10" s="8">
        <v>25083</v>
      </c>
      <c r="G10" s="10">
        <f t="shared" ca="1" si="0"/>
        <v>58</v>
      </c>
      <c r="H10" s="7" t="s">
        <v>44</v>
      </c>
      <c r="I10" s="11">
        <v>12990</v>
      </c>
      <c r="J10" s="11">
        <f>IFERROR(INDEX(Catalogo_Planes_PIMS!$C$5:$C$7,MATCH(H10,Catalogo_Planes_PIMS!$B$5:$B$7,0)),"")</f>
        <v>12990</v>
      </c>
      <c r="K10" s="7" t="str">
        <f ca="1">IF(P10&lt;&gt;"OK","RECHAZADO_DATOS_INCOMPLETOS",IF(R10="DUPLICADO","RECHAZADO_ID_DUPLICADO",IF(Q10="NO","RECHAZADO_PLAN_NO_CATALOGADO",IF(OR(G10="",G10&lt;IFERROR(INDEX(Catalogo_Planes_PIMS!$D$5:$D$7,MATCH(H10,Catalogo_Planes_PIMS!$B$5:$B$7,0)),18),G10&gt;IFERROR(INDEX(Catalogo_Planes_PIMS!$E$5:$E$7,MATCH(H10,Catalogo_Planes_PIMS!$B$5:$B$7,0)),65)),"RECHAZADO_ELEGIBILIDAD",IF(N10="NO","RECHAZADO_RUT_INVALIDO",IF(OR(J10="",I10&lt;&gt;J10),"RECHAZADO_DESCALCE_PRIMA","APROBADO_CARGA_PIMS"))))))</f>
        <v>APROBADO_CARGA_PIMS</v>
      </c>
      <c r="L10" s="7" t="str">
        <f t="shared" ca="1" si="1"/>
        <v>Sin observaciones</v>
      </c>
      <c r="M10" s="12" t="str">
        <f t="shared" si="2"/>
        <v>211605928</v>
      </c>
      <c r="N10" s="13" t="str">
        <f>IF(OR(D10="",ISERROR(FIND("-",TRIM(D10))),MID(TRIM(D10),LEN(TRIM(D10))-1,1)&lt;&gt;"-",LEN(M10)&lt;8,LEN(M10)&gt;9,NOT(ISNUMBER(--LEFT(M10,LEN(M10)-1))),NOT(OR(RIGHT(M10,1)="K",IFERROR(ISNUMBER(--RIGHT(M10,1)),FALSE())))),"NO",IF(RIGHT(M10,1)=MID("0K987654321",MOD(SUMPRODUCT(--MID(RIGHT("00000000"&amp;LEFT(M10,LEN(M10)-1),8),{1,2,3,4,5,6,7,8},1),{3,2,7,6,5,4,3,2}),11)+1,1),"SI","NO"))</f>
        <v>SI</v>
      </c>
      <c r="O10" s="13" t="str">
        <f ca="1">IF(LEFT(K10,9)="RECHAZADO",COUNTIF($K$5:K10,"RECHAZADO*"),"")</f>
        <v/>
      </c>
      <c r="P10" s="14" t="str">
        <f t="shared" ca="1" si="3"/>
        <v>OK</v>
      </c>
      <c r="Q10" s="14" t="str">
        <f>IF(COUNTIF(Catalogo_Planes_PIMS!$B$5:$B$7,H10)=1,"SI","NO")</f>
        <v>SI</v>
      </c>
      <c r="R10" s="14" t="str">
        <f t="shared" si="4"/>
        <v>OK</v>
      </c>
      <c r="S10" s="15" t="str">
        <f ca="1">IF(P10&lt;&gt;"OK","Revisar campos obligatorios, fechas y prima",IF(R10="DUPLICADO","ID_Solicitud duplicado",IF(Q10="NO","Plan no existe en catálogo",IF(AND(G10&lt;&gt;"",OR(G10&lt;IFERROR(INDEX(Catalogo_Planes_PIMS!$D$5:$D$7,MATCH(H10,Catalogo_Planes_PIMS!$B$5:$B$7,0)),18),G10&gt;IFERROR(INDEX(Catalogo_Planes_PIMS!$E$5:$E$7,MATCH(H10,Catalogo_Planes_PIMS!$B$5:$B$7,0)),65))),"Edad fuera de rango",IF(N10="NO","RUT inválido",IF(OR(J10="",I10&lt;&gt;J10),"Descalce de prima","Sin errores adicionales"))))))</f>
        <v>Sin errores adicionales</v>
      </c>
    </row>
    <row r="11" spans="1:19" x14ac:dyDescent="0.25">
      <c r="A11" s="7" t="s">
        <v>45</v>
      </c>
      <c r="B11" s="8">
        <v>46297</v>
      </c>
      <c r="C11" s="7" t="s">
        <v>34</v>
      </c>
      <c r="D11" s="9" t="s">
        <v>46</v>
      </c>
      <c r="E11" s="9" t="s">
        <v>47</v>
      </c>
      <c r="F11" s="8">
        <v>37086</v>
      </c>
      <c r="G11" s="10">
        <f t="shared" ca="1" si="0"/>
        <v>25</v>
      </c>
      <c r="H11" s="7" t="s">
        <v>37</v>
      </c>
      <c r="I11" s="11">
        <v>7990</v>
      </c>
      <c r="J11" s="11">
        <f>IFERROR(INDEX(Catalogo_Planes_PIMS!$C$5:$C$7,MATCH(H11,Catalogo_Planes_PIMS!$B$5:$B$7,0)),"")</f>
        <v>7990</v>
      </c>
      <c r="K11" s="7" t="str">
        <f ca="1">IF(P11&lt;&gt;"OK","RECHAZADO_DATOS_INCOMPLETOS",IF(R11="DUPLICADO","RECHAZADO_ID_DUPLICADO",IF(Q11="NO","RECHAZADO_PLAN_NO_CATALOGADO",IF(OR(G11="",G11&lt;IFERROR(INDEX(Catalogo_Planes_PIMS!$D$5:$D$7,MATCH(H11,Catalogo_Planes_PIMS!$B$5:$B$7,0)),18),G11&gt;IFERROR(INDEX(Catalogo_Planes_PIMS!$E$5:$E$7,MATCH(H11,Catalogo_Planes_PIMS!$B$5:$B$7,0)),65)),"RECHAZADO_ELEGIBILIDAD",IF(N11="NO","RECHAZADO_RUT_INVALIDO",IF(OR(J11="",I11&lt;&gt;J11),"RECHAZADO_DESCALCE_PRIMA","APROBADO_CARGA_PIMS"))))))</f>
        <v>APROBADO_CARGA_PIMS</v>
      </c>
      <c r="L11" s="7" t="str">
        <f t="shared" ca="1" si="1"/>
        <v>Sin observaciones</v>
      </c>
      <c r="M11" s="12" t="str">
        <f t="shared" si="2"/>
        <v>237817206</v>
      </c>
      <c r="N11" s="13" t="str">
        <f>IF(OR(D11="",ISERROR(FIND("-",TRIM(D11))),MID(TRIM(D11),LEN(TRIM(D11))-1,1)&lt;&gt;"-",LEN(M11)&lt;8,LEN(M11)&gt;9,NOT(ISNUMBER(--LEFT(M11,LEN(M11)-1))),NOT(OR(RIGHT(M11,1)="K",IFERROR(ISNUMBER(--RIGHT(M11,1)),FALSE())))),"NO",IF(RIGHT(M11,1)=MID("0K987654321",MOD(SUMPRODUCT(--MID(RIGHT("00000000"&amp;LEFT(M11,LEN(M11)-1),8),{1,2,3,4,5,6,7,8},1),{3,2,7,6,5,4,3,2}),11)+1,1),"SI","NO"))</f>
        <v>SI</v>
      </c>
      <c r="O11" s="13" t="str">
        <f ca="1">IF(LEFT(K11,9)="RECHAZADO",COUNTIF($K$5:K11,"RECHAZADO*"),"")</f>
        <v/>
      </c>
      <c r="P11" s="14" t="str">
        <f t="shared" ca="1" si="3"/>
        <v>OK</v>
      </c>
      <c r="Q11" s="14" t="str">
        <f>IF(COUNTIF(Catalogo_Planes_PIMS!$B$5:$B$7,H11)=1,"SI","NO")</f>
        <v>SI</v>
      </c>
      <c r="R11" s="14" t="str">
        <f t="shared" si="4"/>
        <v>OK</v>
      </c>
      <c r="S11" s="15" t="str">
        <f ca="1">IF(P11&lt;&gt;"OK","Revisar campos obligatorios, fechas y prima",IF(R11="DUPLICADO","ID_Solicitud duplicado",IF(Q11="NO","Plan no existe en catálogo",IF(AND(G11&lt;&gt;"",OR(G11&lt;IFERROR(INDEX(Catalogo_Planes_PIMS!$D$5:$D$7,MATCH(H11,Catalogo_Planes_PIMS!$B$5:$B$7,0)),18),G11&gt;IFERROR(INDEX(Catalogo_Planes_PIMS!$E$5:$E$7,MATCH(H11,Catalogo_Planes_PIMS!$B$5:$B$7,0)),65))),"Edad fuera de rango",IF(N11="NO","RUT inválido",IF(OR(J11="",I11&lt;&gt;J11),"Descalce de prima","Sin errores adicionales"))))))</f>
        <v>Sin errores adicionales</v>
      </c>
    </row>
    <row r="12" spans="1:19" x14ac:dyDescent="0.25">
      <c r="A12" s="7" t="s">
        <v>48</v>
      </c>
      <c r="B12" s="8">
        <v>46297</v>
      </c>
      <c r="C12" s="7" t="s">
        <v>27</v>
      </c>
      <c r="D12" s="9" t="s">
        <v>49</v>
      </c>
      <c r="E12" s="9" t="s">
        <v>50</v>
      </c>
      <c r="F12" s="8">
        <v>33303</v>
      </c>
      <c r="G12" s="10">
        <f t="shared" ca="1" si="0"/>
        <v>35</v>
      </c>
      <c r="H12" s="7" t="s">
        <v>37</v>
      </c>
      <c r="I12" s="11">
        <v>9490</v>
      </c>
      <c r="J12" s="11">
        <f>IFERROR(INDEX(Catalogo_Planes_PIMS!$C$5:$C$7,MATCH(H12,Catalogo_Planes_PIMS!$B$5:$B$7,0)),"")</f>
        <v>7990</v>
      </c>
      <c r="K12" s="7" t="str">
        <f ca="1">IF(P12&lt;&gt;"OK","RECHAZADO_DATOS_INCOMPLETOS",IF(R12="DUPLICADO","RECHAZADO_ID_DUPLICADO",IF(Q12="NO","RECHAZADO_PLAN_NO_CATALOGADO",IF(OR(G12="",G12&lt;IFERROR(INDEX(Catalogo_Planes_PIMS!$D$5:$D$7,MATCH(H12,Catalogo_Planes_PIMS!$B$5:$B$7,0)),18),G12&gt;IFERROR(INDEX(Catalogo_Planes_PIMS!$E$5:$E$7,MATCH(H12,Catalogo_Planes_PIMS!$B$5:$B$7,0)),65)),"RECHAZADO_ELEGIBILIDAD",IF(N12="NO","RECHAZADO_RUT_INVALIDO",IF(OR(J12="",I12&lt;&gt;J12),"RECHAZADO_DESCALCE_PRIMA","APROBADO_CARGA_PIMS"))))))</f>
        <v>RECHAZADO_DESCALCE_PRIMA</v>
      </c>
      <c r="L12" s="7" t="str">
        <f t="shared" ca="1" si="1"/>
        <v>Prima informada no coincide con tarifa oficial PIMS</v>
      </c>
      <c r="M12" s="12" t="str">
        <f t="shared" si="2"/>
        <v>151538800</v>
      </c>
      <c r="N12" s="13" t="str">
        <f>IF(OR(D12="",ISERROR(FIND("-",TRIM(D12))),MID(TRIM(D12),LEN(TRIM(D12))-1,1)&lt;&gt;"-",LEN(M12)&lt;8,LEN(M12)&gt;9,NOT(ISNUMBER(--LEFT(M12,LEN(M12)-1))),NOT(OR(RIGHT(M12,1)="K",IFERROR(ISNUMBER(--RIGHT(M12,1)),FALSE())))),"NO",IF(RIGHT(M12,1)=MID("0K987654321",MOD(SUMPRODUCT(--MID(RIGHT("00000000"&amp;LEFT(M12,LEN(M12)-1),8),{1,2,3,4,5,6,7,8},1),{3,2,7,6,5,4,3,2}),11)+1,1),"SI","NO"))</f>
        <v>SI</v>
      </c>
      <c r="O12" s="13">
        <f ca="1">IF(LEFT(K12,9)="RECHAZADO",COUNTIF($K$5:K12,"RECHAZADO*"),"")</f>
        <v>3</v>
      </c>
      <c r="P12" s="14" t="str">
        <f t="shared" ca="1" si="3"/>
        <v>OK</v>
      </c>
      <c r="Q12" s="14" t="str">
        <f>IF(COUNTIF(Catalogo_Planes_PIMS!$B$5:$B$7,H12)=1,"SI","NO")</f>
        <v>SI</v>
      </c>
      <c r="R12" s="14" t="str">
        <f t="shared" si="4"/>
        <v>OK</v>
      </c>
      <c r="S12" s="15" t="str">
        <f ca="1">IF(P12&lt;&gt;"OK","Revisar campos obligatorios, fechas y prima",IF(R12="DUPLICADO","ID_Solicitud duplicado",IF(Q12="NO","Plan no existe en catálogo",IF(AND(G12&lt;&gt;"",OR(G12&lt;IFERROR(INDEX(Catalogo_Planes_PIMS!$D$5:$D$7,MATCH(H12,Catalogo_Planes_PIMS!$B$5:$B$7,0)),18),G12&gt;IFERROR(INDEX(Catalogo_Planes_PIMS!$E$5:$E$7,MATCH(H12,Catalogo_Planes_PIMS!$B$5:$B$7,0)),65))),"Edad fuera de rango",IF(N12="NO","RUT inválido",IF(OR(J12="",I12&lt;&gt;J12),"Descalce de prima","Sin errores adicionales"))))))</f>
        <v>Descalce de prima</v>
      </c>
    </row>
    <row r="13" spans="1:19" x14ac:dyDescent="0.25">
      <c r="A13" s="7" t="s">
        <v>51</v>
      </c>
      <c r="B13" s="8">
        <v>46297</v>
      </c>
      <c r="C13" s="7" t="s">
        <v>27</v>
      </c>
      <c r="D13" s="9" t="s">
        <v>52</v>
      </c>
      <c r="E13" s="9" t="s">
        <v>53</v>
      </c>
      <c r="F13" s="8">
        <v>29398</v>
      </c>
      <c r="G13" s="10">
        <f t="shared" ca="1" si="0"/>
        <v>46</v>
      </c>
      <c r="H13" s="7" t="s">
        <v>44</v>
      </c>
      <c r="I13" s="11">
        <v>14490</v>
      </c>
      <c r="J13" s="11">
        <f>IFERROR(INDEX(Catalogo_Planes_PIMS!$C$5:$C$7,MATCH(H13,Catalogo_Planes_PIMS!$B$5:$B$7,0)),"")</f>
        <v>12990</v>
      </c>
      <c r="K13" s="7" t="str">
        <f ca="1">IF(P13&lt;&gt;"OK","RECHAZADO_DATOS_INCOMPLETOS",IF(R13="DUPLICADO","RECHAZADO_ID_DUPLICADO",IF(Q13="NO","RECHAZADO_PLAN_NO_CATALOGADO",IF(OR(G13="",G13&lt;IFERROR(INDEX(Catalogo_Planes_PIMS!$D$5:$D$7,MATCH(H13,Catalogo_Planes_PIMS!$B$5:$B$7,0)),18),G13&gt;IFERROR(INDEX(Catalogo_Planes_PIMS!$E$5:$E$7,MATCH(H13,Catalogo_Planes_PIMS!$B$5:$B$7,0)),65)),"RECHAZADO_ELEGIBILIDAD",IF(N13="NO","RECHAZADO_RUT_INVALIDO",IF(OR(J13="",I13&lt;&gt;J13),"RECHAZADO_DESCALCE_PRIMA","APROBADO_CARGA_PIMS"))))))</f>
        <v>RECHAZADO_DESCALCE_PRIMA</v>
      </c>
      <c r="L13" s="7" t="str">
        <f t="shared" ca="1" si="1"/>
        <v>Prima informada no coincide con tarifa oficial PIMS</v>
      </c>
      <c r="M13" s="12" t="str">
        <f t="shared" si="2"/>
        <v>148397031</v>
      </c>
      <c r="N13" s="13" t="str">
        <f>IF(OR(D13="",ISERROR(FIND("-",TRIM(D13))),MID(TRIM(D13),LEN(TRIM(D13))-1,1)&lt;&gt;"-",LEN(M13)&lt;8,LEN(M13)&gt;9,NOT(ISNUMBER(--LEFT(M13,LEN(M13)-1))),NOT(OR(RIGHT(M13,1)="K",IFERROR(ISNUMBER(--RIGHT(M13,1)),FALSE())))),"NO",IF(RIGHT(M13,1)=MID("0K987654321",MOD(SUMPRODUCT(--MID(RIGHT("00000000"&amp;LEFT(M13,LEN(M13)-1),8),{1,2,3,4,5,6,7,8},1),{3,2,7,6,5,4,3,2}),11)+1,1),"SI","NO"))</f>
        <v>SI</v>
      </c>
      <c r="O13" s="13">
        <f ca="1">IF(LEFT(K13,9)="RECHAZADO",COUNTIF($K$5:K13,"RECHAZADO*"),"")</f>
        <v>4</v>
      </c>
      <c r="P13" s="14" t="str">
        <f t="shared" ca="1" si="3"/>
        <v>OK</v>
      </c>
      <c r="Q13" s="14" t="str">
        <f>IF(COUNTIF(Catalogo_Planes_PIMS!$B$5:$B$7,H13)=1,"SI","NO")</f>
        <v>SI</v>
      </c>
      <c r="R13" s="14" t="str">
        <f t="shared" si="4"/>
        <v>OK</v>
      </c>
      <c r="S13" s="15" t="str">
        <f ca="1">IF(P13&lt;&gt;"OK","Revisar campos obligatorios, fechas y prima",IF(R13="DUPLICADO","ID_Solicitud duplicado",IF(Q13="NO","Plan no existe en catálogo",IF(AND(G13&lt;&gt;"",OR(G13&lt;IFERROR(INDEX(Catalogo_Planes_PIMS!$D$5:$D$7,MATCH(H13,Catalogo_Planes_PIMS!$B$5:$B$7,0)),18),G13&gt;IFERROR(INDEX(Catalogo_Planes_PIMS!$E$5:$E$7,MATCH(H13,Catalogo_Planes_PIMS!$B$5:$B$7,0)),65))),"Edad fuera de rango",IF(N13="NO","RUT inválido",IF(OR(J13="",I13&lt;&gt;J13),"Descalce de prima","Sin errores adicionales"))))))</f>
        <v>Descalce de prima</v>
      </c>
    </row>
    <row r="14" spans="1:19" x14ac:dyDescent="0.25">
      <c r="A14" s="7" t="s">
        <v>54</v>
      </c>
      <c r="B14" s="8">
        <v>46297</v>
      </c>
      <c r="C14" s="7" t="s">
        <v>27</v>
      </c>
      <c r="D14" s="9" t="s">
        <v>55</v>
      </c>
      <c r="E14" s="9" t="s">
        <v>56</v>
      </c>
      <c r="F14" s="8">
        <v>29952</v>
      </c>
      <c r="G14" s="10">
        <f t="shared" ca="1" si="0"/>
        <v>44</v>
      </c>
      <c r="H14" s="7" t="s">
        <v>44</v>
      </c>
      <c r="I14" s="11">
        <v>12990</v>
      </c>
      <c r="J14" s="11">
        <f>IFERROR(INDEX(Catalogo_Planes_PIMS!$C$5:$C$7,MATCH(H14,Catalogo_Planes_PIMS!$B$5:$B$7,0)),"")</f>
        <v>12990</v>
      </c>
      <c r="K14" s="7" t="str">
        <f ca="1">IF(P14&lt;&gt;"OK","RECHAZADO_DATOS_INCOMPLETOS",IF(R14="DUPLICADO","RECHAZADO_ID_DUPLICADO",IF(Q14="NO","RECHAZADO_PLAN_NO_CATALOGADO",IF(OR(G14="",G14&lt;IFERROR(INDEX(Catalogo_Planes_PIMS!$D$5:$D$7,MATCH(H14,Catalogo_Planes_PIMS!$B$5:$B$7,0)),18),G14&gt;IFERROR(INDEX(Catalogo_Planes_PIMS!$E$5:$E$7,MATCH(H14,Catalogo_Planes_PIMS!$B$5:$B$7,0)),65)),"RECHAZADO_ELEGIBILIDAD",IF(N14="NO","RECHAZADO_RUT_INVALIDO",IF(OR(J14="",I14&lt;&gt;J14),"RECHAZADO_DESCALCE_PRIMA","APROBADO_CARGA_PIMS"))))))</f>
        <v>APROBADO_CARGA_PIMS</v>
      </c>
      <c r="L14" s="7" t="str">
        <f t="shared" ca="1" si="1"/>
        <v>Sin observaciones</v>
      </c>
      <c r="M14" s="12" t="str">
        <f t="shared" si="2"/>
        <v>221750071</v>
      </c>
      <c r="N14" s="13" t="str">
        <f>IF(OR(D14="",ISERROR(FIND("-",TRIM(D14))),MID(TRIM(D14),LEN(TRIM(D14))-1,1)&lt;&gt;"-",LEN(M14)&lt;8,LEN(M14)&gt;9,NOT(ISNUMBER(--LEFT(M14,LEN(M14)-1))),NOT(OR(RIGHT(M14,1)="K",IFERROR(ISNUMBER(--RIGHT(M14,1)),FALSE())))),"NO",IF(RIGHT(M14,1)=MID("0K987654321",MOD(SUMPRODUCT(--MID(RIGHT("00000000"&amp;LEFT(M14,LEN(M14)-1),8),{1,2,3,4,5,6,7,8},1),{3,2,7,6,5,4,3,2}),11)+1,1),"SI","NO"))</f>
        <v>SI</v>
      </c>
      <c r="O14" s="13" t="str">
        <f ca="1">IF(LEFT(K14,9)="RECHAZADO",COUNTIF($K$5:K14,"RECHAZADO*"),"")</f>
        <v/>
      </c>
      <c r="P14" s="14" t="str">
        <f t="shared" ca="1" si="3"/>
        <v>OK</v>
      </c>
      <c r="Q14" s="14" t="str">
        <f>IF(COUNTIF(Catalogo_Planes_PIMS!$B$5:$B$7,H14)=1,"SI","NO")</f>
        <v>SI</v>
      </c>
      <c r="R14" s="14" t="str">
        <f t="shared" si="4"/>
        <v>OK</v>
      </c>
      <c r="S14" s="15" t="str">
        <f ca="1">IF(P14&lt;&gt;"OK","Revisar campos obligatorios, fechas y prima",IF(R14="DUPLICADO","ID_Solicitud duplicado",IF(Q14="NO","Plan no existe en catálogo",IF(AND(G14&lt;&gt;"",OR(G14&lt;IFERROR(INDEX(Catalogo_Planes_PIMS!$D$5:$D$7,MATCH(H14,Catalogo_Planes_PIMS!$B$5:$B$7,0)),18),G14&gt;IFERROR(INDEX(Catalogo_Planes_PIMS!$E$5:$E$7,MATCH(H14,Catalogo_Planes_PIMS!$B$5:$B$7,0)),65))),"Edad fuera de rango",IF(N14="NO","RUT inválido",IF(OR(J14="",I14&lt;&gt;J14),"Descalce de prima","Sin errores adicionales"))))))</f>
        <v>Sin errores adicionales</v>
      </c>
    </row>
    <row r="15" spans="1:19" x14ac:dyDescent="0.25">
      <c r="A15" s="7" t="s">
        <v>57</v>
      </c>
      <c r="B15" s="8">
        <v>46297</v>
      </c>
      <c r="C15" s="7" t="s">
        <v>22</v>
      </c>
      <c r="D15" s="9" t="s">
        <v>58</v>
      </c>
      <c r="E15" s="9" t="s">
        <v>59</v>
      </c>
      <c r="F15" s="8">
        <v>32654</v>
      </c>
      <c r="G15" s="10">
        <f t="shared" ca="1" si="0"/>
        <v>37</v>
      </c>
      <c r="H15" s="7" t="s">
        <v>44</v>
      </c>
      <c r="I15" s="11">
        <v>12990</v>
      </c>
      <c r="J15" s="11">
        <f>IFERROR(INDEX(Catalogo_Planes_PIMS!$C$5:$C$7,MATCH(H15,Catalogo_Planes_PIMS!$B$5:$B$7,0)),"")</f>
        <v>12990</v>
      </c>
      <c r="K15" s="7" t="str">
        <f ca="1">IF(P15&lt;&gt;"OK","RECHAZADO_DATOS_INCOMPLETOS",IF(R15="DUPLICADO","RECHAZADO_ID_DUPLICADO",IF(Q15="NO","RECHAZADO_PLAN_NO_CATALOGADO",IF(OR(G15="",G15&lt;IFERROR(INDEX(Catalogo_Planes_PIMS!$D$5:$D$7,MATCH(H15,Catalogo_Planes_PIMS!$B$5:$B$7,0)),18),G15&gt;IFERROR(INDEX(Catalogo_Planes_PIMS!$E$5:$E$7,MATCH(H15,Catalogo_Planes_PIMS!$B$5:$B$7,0)),65)),"RECHAZADO_ELEGIBILIDAD",IF(N15="NO","RECHAZADO_RUT_INVALIDO",IF(OR(J15="",I15&lt;&gt;J15),"RECHAZADO_DESCALCE_PRIMA","APROBADO_CARGA_PIMS"))))))</f>
        <v>RECHAZADO_RUT_INVALIDO</v>
      </c>
      <c r="L15" s="7" t="str">
        <f t="shared" ca="1" si="1"/>
        <v>RUT con formato o dígito verificador inválido</v>
      </c>
      <c r="M15" s="12" t="str">
        <f t="shared" si="2"/>
        <v>61646127</v>
      </c>
      <c r="N15" s="13" t="str">
        <f>IF(OR(D15="",ISERROR(FIND("-",TRIM(D15))),MID(TRIM(D15),LEN(TRIM(D15))-1,1)&lt;&gt;"-",LEN(M15)&lt;8,LEN(M15)&gt;9,NOT(ISNUMBER(--LEFT(M15,LEN(M15)-1))),NOT(OR(RIGHT(M15,1)="K",IFERROR(ISNUMBER(--RIGHT(M15,1)),FALSE())))),"NO",IF(RIGHT(M15,1)=MID("0K987654321",MOD(SUMPRODUCT(--MID(RIGHT("00000000"&amp;LEFT(M15,LEN(M15)-1),8),{1,2,3,4,5,6,7,8},1),{3,2,7,6,5,4,3,2}),11)+1,1),"SI","NO"))</f>
        <v>NO</v>
      </c>
      <c r="O15" s="13">
        <f ca="1">IF(LEFT(K15,9)="RECHAZADO",COUNTIF($K$5:K15,"RECHAZADO*"),"")</f>
        <v>5</v>
      </c>
      <c r="P15" s="14" t="str">
        <f t="shared" ca="1" si="3"/>
        <v>OK</v>
      </c>
      <c r="Q15" s="14" t="str">
        <f>IF(COUNTIF(Catalogo_Planes_PIMS!$B$5:$B$7,H15)=1,"SI","NO")</f>
        <v>SI</v>
      </c>
      <c r="R15" s="14" t="str">
        <f t="shared" si="4"/>
        <v>OK</v>
      </c>
      <c r="S15" s="15" t="str">
        <f ca="1">IF(P15&lt;&gt;"OK","Revisar campos obligatorios, fechas y prima",IF(R15="DUPLICADO","ID_Solicitud duplicado",IF(Q15="NO","Plan no existe en catálogo",IF(AND(G15&lt;&gt;"",OR(G15&lt;IFERROR(INDEX(Catalogo_Planes_PIMS!$D$5:$D$7,MATCH(H15,Catalogo_Planes_PIMS!$B$5:$B$7,0)),18),G15&gt;IFERROR(INDEX(Catalogo_Planes_PIMS!$E$5:$E$7,MATCH(H15,Catalogo_Planes_PIMS!$B$5:$B$7,0)),65))),"Edad fuera de rango",IF(N15="NO","RUT inválido",IF(OR(J15="",I15&lt;&gt;J15),"Descalce de prima","Sin errores adicionales"))))))</f>
        <v>RUT inválido</v>
      </c>
    </row>
    <row r="16" spans="1:19" x14ac:dyDescent="0.25">
      <c r="A16" s="7" t="s">
        <v>60</v>
      </c>
      <c r="B16" s="8">
        <v>46297</v>
      </c>
      <c r="C16" s="7" t="s">
        <v>22</v>
      </c>
      <c r="D16" s="9" t="s">
        <v>61</v>
      </c>
      <c r="E16" s="9" t="s">
        <v>62</v>
      </c>
      <c r="F16" s="8">
        <v>33489</v>
      </c>
      <c r="G16" s="10">
        <f t="shared" ca="1" si="0"/>
        <v>35</v>
      </c>
      <c r="H16" s="7" t="s">
        <v>37</v>
      </c>
      <c r="I16" s="11">
        <v>7990</v>
      </c>
      <c r="J16" s="11">
        <f>IFERROR(INDEX(Catalogo_Planes_PIMS!$C$5:$C$7,MATCH(H16,Catalogo_Planes_PIMS!$B$5:$B$7,0)),"")</f>
        <v>7990</v>
      </c>
      <c r="K16" s="7" t="str">
        <f ca="1">IF(P16&lt;&gt;"OK","RECHAZADO_DATOS_INCOMPLETOS",IF(R16="DUPLICADO","RECHAZADO_ID_DUPLICADO",IF(Q16="NO","RECHAZADO_PLAN_NO_CATALOGADO",IF(OR(G16="",G16&lt;IFERROR(INDEX(Catalogo_Planes_PIMS!$D$5:$D$7,MATCH(H16,Catalogo_Planes_PIMS!$B$5:$B$7,0)),18),G16&gt;IFERROR(INDEX(Catalogo_Planes_PIMS!$E$5:$E$7,MATCH(H16,Catalogo_Planes_PIMS!$B$5:$B$7,0)),65)),"RECHAZADO_ELEGIBILIDAD",IF(N16="NO","RECHAZADO_RUT_INVALIDO",IF(OR(J16="",I16&lt;&gt;J16),"RECHAZADO_DESCALCE_PRIMA","APROBADO_CARGA_PIMS"))))))</f>
        <v>APROBADO_CARGA_PIMS</v>
      </c>
      <c r="L16" s="7" t="str">
        <f t="shared" ca="1" si="1"/>
        <v>Sin observaciones</v>
      </c>
      <c r="M16" s="12" t="str">
        <f t="shared" si="2"/>
        <v>178094874</v>
      </c>
      <c r="N16" s="13" t="str">
        <f>IF(OR(D16="",ISERROR(FIND("-",TRIM(D16))),MID(TRIM(D16),LEN(TRIM(D16))-1,1)&lt;&gt;"-",LEN(M16)&lt;8,LEN(M16)&gt;9,NOT(ISNUMBER(--LEFT(M16,LEN(M16)-1))),NOT(OR(RIGHT(M16,1)="K",IFERROR(ISNUMBER(--RIGHT(M16,1)),FALSE())))),"NO",IF(RIGHT(M16,1)=MID("0K987654321",MOD(SUMPRODUCT(--MID(RIGHT("00000000"&amp;LEFT(M16,LEN(M16)-1),8),{1,2,3,4,5,6,7,8},1),{3,2,7,6,5,4,3,2}),11)+1,1),"SI","NO"))</f>
        <v>SI</v>
      </c>
      <c r="O16" s="13" t="str">
        <f ca="1">IF(LEFT(K16,9)="RECHAZADO",COUNTIF($K$5:K16,"RECHAZADO*"),"")</f>
        <v/>
      </c>
      <c r="P16" s="14" t="str">
        <f t="shared" ca="1" si="3"/>
        <v>OK</v>
      </c>
      <c r="Q16" s="14" t="str">
        <f>IF(COUNTIF(Catalogo_Planes_PIMS!$B$5:$B$7,H16)=1,"SI","NO")</f>
        <v>SI</v>
      </c>
      <c r="R16" s="14" t="str">
        <f t="shared" si="4"/>
        <v>OK</v>
      </c>
      <c r="S16" s="15" t="str">
        <f ca="1">IF(P16&lt;&gt;"OK","Revisar campos obligatorios, fechas y prima",IF(R16="DUPLICADO","ID_Solicitud duplicado",IF(Q16="NO","Plan no existe en catálogo",IF(AND(G16&lt;&gt;"",OR(G16&lt;IFERROR(INDEX(Catalogo_Planes_PIMS!$D$5:$D$7,MATCH(H16,Catalogo_Planes_PIMS!$B$5:$B$7,0)),18),G16&gt;IFERROR(INDEX(Catalogo_Planes_PIMS!$E$5:$E$7,MATCH(H16,Catalogo_Planes_PIMS!$B$5:$B$7,0)),65))),"Edad fuera de rango",IF(N16="NO","RUT inválido",IF(OR(J16="",I16&lt;&gt;J16),"Descalce de prima","Sin errores adicionales"))))))</f>
        <v>Sin errores adicionales</v>
      </c>
    </row>
    <row r="17" spans="1:19" x14ac:dyDescent="0.25">
      <c r="A17" s="7" t="s">
        <v>63</v>
      </c>
      <c r="B17" s="8">
        <v>46297</v>
      </c>
      <c r="C17" s="7" t="s">
        <v>27</v>
      </c>
      <c r="D17" s="9" t="s">
        <v>64</v>
      </c>
      <c r="E17" s="9" t="s">
        <v>65</v>
      </c>
      <c r="F17" s="8">
        <v>24997</v>
      </c>
      <c r="G17" s="10">
        <f t="shared" ca="1" si="0"/>
        <v>58</v>
      </c>
      <c r="H17" s="7" t="s">
        <v>37</v>
      </c>
      <c r="I17" s="11">
        <v>7990</v>
      </c>
      <c r="J17" s="11">
        <f>IFERROR(INDEX(Catalogo_Planes_PIMS!$C$5:$C$7,MATCH(H17,Catalogo_Planes_PIMS!$B$5:$B$7,0)),"")</f>
        <v>7990</v>
      </c>
      <c r="K17" s="7" t="str">
        <f ca="1">IF(P17&lt;&gt;"OK","RECHAZADO_DATOS_INCOMPLETOS",IF(R17="DUPLICADO","RECHAZADO_ID_DUPLICADO",IF(Q17="NO","RECHAZADO_PLAN_NO_CATALOGADO",IF(OR(G17="",G17&lt;IFERROR(INDEX(Catalogo_Planes_PIMS!$D$5:$D$7,MATCH(H17,Catalogo_Planes_PIMS!$B$5:$B$7,0)),18),G17&gt;IFERROR(INDEX(Catalogo_Planes_PIMS!$E$5:$E$7,MATCH(H17,Catalogo_Planes_PIMS!$B$5:$B$7,0)),65)),"RECHAZADO_ELEGIBILIDAD",IF(N17="NO","RECHAZADO_RUT_INVALIDO",IF(OR(J17="",I17&lt;&gt;J17),"RECHAZADO_DESCALCE_PRIMA","APROBADO_CARGA_PIMS"))))))</f>
        <v>APROBADO_CARGA_PIMS</v>
      </c>
      <c r="L17" s="7" t="str">
        <f t="shared" ca="1" si="1"/>
        <v>Sin observaciones</v>
      </c>
      <c r="M17" s="12" t="str">
        <f t="shared" si="2"/>
        <v>96807031</v>
      </c>
      <c r="N17" s="13" t="str">
        <f>IF(OR(D17="",ISERROR(FIND("-",TRIM(D17))),MID(TRIM(D17),LEN(TRIM(D17))-1,1)&lt;&gt;"-",LEN(M17)&lt;8,LEN(M17)&gt;9,NOT(ISNUMBER(--LEFT(M17,LEN(M17)-1))),NOT(OR(RIGHT(M17,1)="K",IFERROR(ISNUMBER(--RIGHT(M17,1)),FALSE())))),"NO",IF(RIGHT(M17,1)=MID("0K987654321",MOD(SUMPRODUCT(--MID(RIGHT("00000000"&amp;LEFT(M17,LEN(M17)-1),8),{1,2,3,4,5,6,7,8},1),{3,2,7,6,5,4,3,2}),11)+1,1),"SI","NO"))</f>
        <v>SI</v>
      </c>
      <c r="O17" s="13" t="str">
        <f ca="1">IF(LEFT(K17,9)="RECHAZADO",COUNTIF($K$5:K17,"RECHAZADO*"),"")</f>
        <v/>
      </c>
      <c r="P17" s="14" t="str">
        <f t="shared" ca="1" si="3"/>
        <v>OK</v>
      </c>
      <c r="Q17" s="14" t="str">
        <f>IF(COUNTIF(Catalogo_Planes_PIMS!$B$5:$B$7,H17)=1,"SI","NO")</f>
        <v>SI</v>
      </c>
      <c r="R17" s="14" t="str">
        <f t="shared" si="4"/>
        <v>OK</v>
      </c>
      <c r="S17" s="15" t="str">
        <f ca="1">IF(P17&lt;&gt;"OK","Revisar campos obligatorios, fechas y prima",IF(R17="DUPLICADO","ID_Solicitud duplicado",IF(Q17="NO","Plan no existe en catálogo",IF(AND(G17&lt;&gt;"",OR(G17&lt;IFERROR(INDEX(Catalogo_Planes_PIMS!$D$5:$D$7,MATCH(H17,Catalogo_Planes_PIMS!$B$5:$B$7,0)),18),G17&gt;IFERROR(INDEX(Catalogo_Planes_PIMS!$E$5:$E$7,MATCH(H17,Catalogo_Planes_PIMS!$B$5:$B$7,0)),65))),"Edad fuera de rango",IF(N17="NO","RUT inválido",IF(OR(J17="",I17&lt;&gt;J17),"Descalce de prima","Sin errores adicionales"))))))</f>
        <v>Sin errores adicionales</v>
      </c>
    </row>
    <row r="18" spans="1:19" x14ac:dyDescent="0.25">
      <c r="A18" s="7" t="s">
        <v>66</v>
      </c>
      <c r="B18" s="8">
        <v>46297</v>
      </c>
      <c r="C18" s="7" t="s">
        <v>27</v>
      </c>
      <c r="D18" s="9" t="s">
        <v>67</v>
      </c>
      <c r="E18" s="9" t="s">
        <v>68</v>
      </c>
      <c r="F18" s="8">
        <v>41382</v>
      </c>
      <c r="G18" s="10">
        <f t="shared" ca="1" si="0"/>
        <v>13</v>
      </c>
      <c r="H18" s="7" t="s">
        <v>37</v>
      </c>
      <c r="I18" s="11">
        <v>7990</v>
      </c>
      <c r="J18" s="11">
        <f>IFERROR(INDEX(Catalogo_Planes_PIMS!$C$5:$C$7,MATCH(H18,Catalogo_Planes_PIMS!$B$5:$B$7,0)),"")</f>
        <v>7990</v>
      </c>
      <c r="K18" s="7" t="str">
        <f ca="1">IF(P18&lt;&gt;"OK","RECHAZADO_DATOS_INCOMPLETOS",IF(R18="DUPLICADO","RECHAZADO_ID_DUPLICADO",IF(Q18="NO","RECHAZADO_PLAN_NO_CATALOGADO",IF(OR(G18="",G18&lt;IFERROR(INDEX(Catalogo_Planes_PIMS!$D$5:$D$7,MATCH(H18,Catalogo_Planes_PIMS!$B$5:$B$7,0)),18),G18&gt;IFERROR(INDEX(Catalogo_Planes_PIMS!$E$5:$E$7,MATCH(H18,Catalogo_Planes_PIMS!$B$5:$B$7,0)),65)),"RECHAZADO_ELEGIBILIDAD",IF(N18="NO","RECHAZADO_RUT_INVALIDO",IF(OR(J18="",I18&lt;&gt;J18),"RECHAZADO_DESCALCE_PRIMA","APROBADO_CARGA_PIMS"))))))</f>
        <v>RECHAZADO_ELEGIBILIDAD</v>
      </c>
      <c r="L18" s="7" t="str">
        <f t="shared" ca="1" si="1"/>
        <v>Edad fuera del rango definido en catálogo</v>
      </c>
      <c r="M18" s="12" t="str">
        <f t="shared" si="2"/>
        <v>149959661</v>
      </c>
      <c r="N18" s="13" t="str">
        <f>IF(OR(D18="",ISERROR(FIND("-",TRIM(D18))),MID(TRIM(D18),LEN(TRIM(D18))-1,1)&lt;&gt;"-",LEN(M18)&lt;8,LEN(M18)&gt;9,NOT(ISNUMBER(--LEFT(M18,LEN(M18)-1))),NOT(OR(RIGHT(M18,1)="K",IFERROR(ISNUMBER(--RIGHT(M18,1)),FALSE())))),"NO",IF(RIGHT(M18,1)=MID("0K987654321",MOD(SUMPRODUCT(--MID(RIGHT("00000000"&amp;LEFT(M18,LEN(M18)-1),8),{1,2,3,4,5,6,7,8},1),{3,2,7,6,5,4,3,2}),11)+1,1),"SI","NO"))</f>
        <v>SI</v>
      </c>
      <c r="O18" s="13">
        <f ca="1">IF(LEFT(K18,9)="RECHAZADO",COUNTIF($K$5:K18,"RECHAZADO*"),"")</f>
        <v>6</v>
      </c>
      <c r="P18" s="14" t="str">
        <f t="shared" ca="1" si="3"/>
        <v>OK</v>
      </c>
      <c r="Q18" s="14" t="str">
        <f>IF(COUNTIF(Catalogo_Planes_PIMS!$B$5:$B$7,H18)=1,"SI","NO")</f>
        <v>SI</v>
      </c>
      <c r="R18" s="14" t="str">
        <f t="shared" si="4"/>
        <v>OK</v>
      </c>
      <c r="S18" s="15" t="str">
        <f ca="1">IF(P18&lt;&gt;"OK","Revisar campos obligatorios, fechas y prima",IF(R18="DUPLICADO","ID_Solicitud duplicado",IF(Q18="NO","Plan no existe en catálogo",IF(AND(G18&lt;&gt;"",OR(G18&lt;IFERROR(INDEX(Catalogo_Planes_PIMS!$D$5:$D$7,MATCH(H18,Catalogo_Planes_PIMS!$B$5:$B$7,0)),18),G18&gt;IFERROR(INDEX(Catalogo_Planes_PIMS!$E$5:$E$7,MATCH(H18,Catalogo_Planes_PIMS!$B$5:$B$7,0)),65))),"Edad fuera de rango",IF(N18="NO","RUT inválido",IF(OR(J18="",I18&lt;&gt;J18),"Descalce de prima","Sin errores adicionales"))))))</f>
        <v>Edad fuera de rango</v>
      </c>
    </row>
    <row r="19" spans="1:19" x14ac:dyDescent="0.25">
      <c r="A19" s="7" t="s">
        <v>69</v>
      </c>
      <c r="B19" s="8">
        <v>46297</v>
      </c>
      <c r="C19" s="7" t="s">
        <v>27</v>
      </c>
      <c r="D19" s="9" t="s">
        <v>70</v>
      </c>
      <c r="E19" s="9" t="s">
        <v>71</v>
      </c>
      <c r="F19" s="8">
        <v>19545</v>
      </c>
      <c r="G19" s="10">
        <f t="shared" ca="1" si="0"/>
        <v>73</v>
      </c>
      <c r="H19" s="7" t="s">
        <v>44</v>
      </c>
      <c r="I19" s="11">
        <v>12990</v>
      </c>
      <c r="J19" s="11">
        <f>IFERROR(INDEX(Catalogo_Planes_PIMS!$C$5:$C$7,MATCH(H19,Catalogo_Planes_PIMS!$B$5:$B$7,0)),"")</f>
        <v>12990</v>
      </c>
      <c r="K19" s="7" t="str">
        <f ca="1">IF(P19&lt;&gt;"OK","RECHAZADO_DATOS_INCOMPLETOS",IF(R19="DUPLICADO","RECHAZADO_ID_DUPLICADO",IF(Q19="NO","RECHAZADO_PLAN_NO_CATALOGADO",IF(OR(G19="",G19&lt;IFERROR(INDEX(Catalogo_Planes_PIMS!$D$5:$D$7,MATCH(H19,Catalogo_Planes_PIMS!$B$5:$B$7,0)),18),G19&gt;IFERROR(INDEX(Catalogo_Planes_PIMS!$E$5:$E$7,MATCH(H19,Catalogo_Planes_PIMS!$B$5:$B$7,0)),65)),"RECHAZADO_ELEGIBILIDAD",IF(N19="NO","RECHAZADO_RUT_INVALIDO",IF(OR(J19="",I19&lt;&gt;J19),"RECHAZADO_DESCALCE_PRIMA","APROBADO_CARGA_PIMS"))))))</f>
        <v>RECHAZADO_ELEGIBILIDAD</v>
      </c>
      <c r="L19" s="7" t="str">
        <f t="shared" ca="1" si="1"/>
        <v>Edad fuera del rango definido en catálogo</v>
      </c>
      <c r="M19" s="12" t="str">
        <f t="shared" si="2"/>
        <v>9557968K</v>
      </c>
      <c r="N19" s="13" t="str">
        <f>IF(OR(D19="",ISERROR(FIND("-",TRIM(D19))),MID(TRIM(D19),LEN(TRIM(D19))-1,1)&lt;&gt;"-",LEN(M19)&lt;8,LEN(M19)&gt;9,NOT(ISNUMBER(--LEFT(M19,LEN(M19)-1))),NOT(OR(RIGHT(M19,1)="K",IFERROR(ISNUMBER(--RIGHT(M19,1)),FALSE())))),"NO",IF(RIGHT(M19,1)=MID("0K987654321",MOD(SUMPRODUCT(--MID(RIGHT("00000000"&amp;LEFT(M19,LEN(M19)-1),8),{1,2,3,4,5,6,7,8},1),{3,2,7,6,5,4,3,2}),11)+1,1),"SI","NO"))</f>
        <v>SI</v>
      </c>
      <c r="O19" s="13">
        <f ca="1">IF(LEFT(K19,9)="RECHAZADO",COUNTIF($K$5:K19,"RECHAZADO*"),"")</f>
        <v>7</v>
      </c>
      <c r="P19" s="14" t="str">
        <f t="shared" ca="1" si="3"/>
        <v>OK</v>
      </c>
      <c r="Q19" s="14" t="str">
        <f>IF(COUNTIF(Catalogo_Planes_PIMS!$B$5:$B$7,H19)=1,"SI","NO")</f>
        <v>SI</v>
      </c>
      <c r="R19" s="14" t="str">
        <f t="shared" si="4"/>
        <v>OK</v>
      </c>
      <c r="S19" s="15" t="str">
        <f ca="1">IF(P19&lt;&gt;"OK","Revisar campos obligatorios, fechas y prima",IF(R19="DUPLICADO","ID_Solicitud duplicado",IF(Q19="NO","Plan no existe en catálogo",IF(AND(G19&lt;&gt;"",OR(G19&lt;IFERROR(INDEX(Catalogo_Planes_PIMS!$D$5:$D$7,MATCH(H19,Catalogo_Planes_PIMS!$B$5:$B$7,0)),18),G19&gt;IFERROR(INDEX(Catalogo_Planes_PIMS!$E$5:$E$7,MATCH(H19,Catalogo_Planes_PIMS!$B$5:$B$7,0)),65))),"Edad fuera de rango",IF(N19="NO","RUT inválido",IF(OR(J19="",I19&lt;&gt;J19),"Descalce de prima","Sin errores adicionales"))))))</f>
        <v>Edad fuera de rango</v>
      </c>
    </row>
    <row r="20" spans="1:19" x14ac:dyDescent="0.25">
      <c r="A20" s="7" t="s">
        <v>72</v>
      </c>
      <c r="B20" s="8">
        <v>46297</v>
      </c>
      <c r="C20" s="7" t="s">
        <v>27</v>
      </c>
      <c r="D20" s="9" t="s">
        <v>73</v>
      </c>
      <c r="E20" s="9" t="s">
        <v>74</v>
      </c>
      <c r="F20" s="8">
        <v>35068</v>
      </c>
      <c r="G20" s="10">
        <f t="shared" ca="1" si="0"/>
        <v>30</v>
      </c>
      <c r="H20" s="7" t="s">
        <v>37</v>
      </c>
      <c r="I20" s="11">
        <v>6990</v>
      </c>
      <c r="J20" s="11">
        <f>IFERROR(INDEX(Catalogo_Planes_PIMS!$C$5:$C$7,MATCH(H20,Catalogo_Planes_PIMS!$B$5:$B$7,0)),"")</f>
        <v>7990</v>
      </c>
      <c r="K20" s="7" t="str">
        <f ca="1">IF(P20&lt;&gt;"OK","RECHAZADO_DATOS_INCOMPLETOS",IF(R20="DUPLICADO","RECHAZADO_ID_DUPLICADO",IF(Q20="NO","RECHAZADO_PLAN_NO_CATALOGADO",IF(OR(G20="",G20&lt;IFERROR(INDEX(Catalogo_Planes_PIMS!$D$5:$D$7,MATCH(H20,Catalogo_Planes_PIMS!$B$5:$B$7,0)),18),G20&gt;IFERROR(INDEX(Catalogo_Planes_PIMS!$E$5:$E$7,MATCH(H20,Catalogo_Planes_PIMS!$B$5:$B$7,0)),65)),"RECHAZADO_ELEGIBILIDAD",IF(N20="NO","RECHAZADO_RUT_INVALIDO",IF(OR(J20="",I20&lt;&gt;J20),"RECHAZADO_DESCALCE_PRIMA","APROBADO_CARGA_PIMS"))))))</f>
        <v>RECHAZADO_DESCALCE_PRIMA</v>
      </c>
      <c r="L20" s="7" t="str">
        <f t="shared" ca="1" si="1"/>
        <v>Prima informada no coincide con tarifa oficial PIMS</v>
      </c>
      <c r="M20" s="12" t="str">
        <f t="shared" si="2"/>
        <v>165210220</v>
      </c>
      <c r="N20" s="13" t="str">
        <f>IF(OR(D20="",ISERROR(FIND("-",TRIM(D20))),MID(TRIM(D20),LEN(TRIM(D20))-1,1)&lt;&gt;"-",LEN(M20)&lt;8,LEN(M20)&gt;9,NOT(ISNUMBER(--LEFT(M20,LEN(M20)-1))),NOT(OR(RIGHT(M20,1)="K",IFERROR(ISNUMBER(--RIGHT(M20,1)),FALSE())))),"NO",IF(RIGHT(M20,1)=MID("0K987654321",MOD(SUMPRODUCT(--MID(RIGHT("00000000"&amp;LEFT(M20,LEN(M20)-1),8),{1,2,3,4,5,6,7,8},1),{3,2,7,6,5,4,3,2}),11)+1,1),"SI","NO"))</f>
        <v>SI</v>
      </c>
      <c r="O20" s="13">
        <f ca="1">IF(LEFT(K20,9)="RECHAZADO",COUNTIF($K$5:K20,"RECHAZADO*"),"")</f>
        <v>8</v>
      </c>
      <c r="P20" s="14" t="str">
        <f t="shared" ca="1" si="3"/>
        <v>OK</v>
      </c>
      <c r="Q20" s="14" t="str">
        <f>IF(COUNTIF(Catalogo_Planes_PIMS!$B$5:$B$7,H20)=1,"SI","NO")</f>
        <v>SI</v>
      </c>
      <c r="R20" s="14" t="str">
        <f t="shared" si="4"/>
        <v>OK</v>
      </c>
      <c r="S20" s="15" t="str">
        <f ca="1">IF(P20&lt;&gt;"OK","Revisar campos obligatorios, fechas y prima",IF(R20="DUPLICADO","ID_Solicitud duplicado",IF(Q20="NO","Plan no existe en catálogo",IF(AND(G20&lt;&gt;"",OR(G20&lt;IFERROR(INDEX(Catalogo_Planes_PIMS!$D$5:$D$7,MATCH(H20,Catalogo_Planes_PIMS!$B$5:$B$7,0)),18),G20&gt;IFERROR(INDEX(Catalogo_Planes_PIMS!$E$5:$E$7,MATCH(H20,Catalogo_Planes_PIMS!$B$5:$B$7,0)),65))),"Edad fuera de rango",IF(N20="NO","RUT inválido",IF(OR(J20="",I20&lt;&gt;J20),"Descalce de prima","Sin errores adicionales"))))))</f>
        <v>Descalce de prima</v>
      </c>
    </row>
    <row r="21" spans="1:19" x14ac:dyDescent="0.25">
      <c r="A21" s="7" t="s">
        <v>75</v>
      </c>
      <c r="B21" s="8">
        <v>46298</v>
      </c>
      <c r="C21" s="7" t="s">
        <v>34</v>
      </c>
      <c r="D21" s="9" t="s">
        <v>76</v>
      </c>
      <c r="E21" s="9" t="s">
        <v>77</v>
      </c>
      <c r="F21" s="8">
        <v>31546</v>
      </c>
      <c r="G21" s="10">
        <f t="shared" ca="1" si="0"/>
        <v>40</v>
      </c>
      <c r="H21" s="7" t="s">
        <v>44</v>
      </c>
      <c r="I21" s="11">
        <v>12990</v>
      </c>
      <c r="J21" s="11">
        <f>IFERROR(INDEX(Catalogo_Planes_PIMS!$C$5:$C$7,MATCH(H21,Catalogo_Planes_PIMS!$B$5:$B$7,0)),"")</f>
        <v>12990</v>
      </c>
      <c r="K21" s="7" t="str">
        <f ca="1">IF(P21&lt;&gt;"OK","RECHAZADO_DATOS_INCOMPLETOS",IF(R21="DUPLICADO","RECHAZADO_ID_DUPLICADO",IF(Q21="NO","RECHAZADO_PLAN_NO_CATALOGADO",IF(OR(G21="",G21&lt;IFERROR(INDEX(Catalogo_Planes_PIMS!$D$5:$D$7,MATCH(H21,Catalogo_Planes_PIMS!$B$5:$B$7,0)),18),G21&gt;IFERROR(INDEX(Catalogo_Planes_PIMS!$E$5:$E$7,MATCH(H21,Catalogo_Planes_PIMS!$B$5:$B$7,0)),65)),"RECHAZADO_ELEGIBILIDAD",IF(N21="NO","RECHAZADO_RUT_INVALIDO",IF(OR(J21="",I21&lt;&gt;J21),"RECHAZADO_DESCALCE_PRIMA","APROBADO_CARGA_PIMS"))))))</f>
        <v>APROBADO_CARGA_PIMS</v>
      </c>
      <c r="L21" s="7" t="str">
        <f t="shared" ca="1" si="1"/>
        <v>Sin observaciones</v>
      </c>
      <c r="M21" s="12" t="str">
        <f t="shared" si="2"/>
        <v>81098719</v>
      </c>
      <c r="N21" s="13" t="str">
        <f>IF(OR(D21="",ISERROR(FIND("-",TRIM(D21))),MID(TRIM(D21),LEN(TRIM(D21))-1,1)&lt;&gt;"-",LEN(M21)&lt;8,LEN(M21)&gt;9,NOT(ISNUMBER(--LEFT(M21,LEN(M21)-1))),NOT(OR(RIGHT(M21,1)="K",IFERROR(ISNUMBER(--RIGHT(M21,1)),FALSE())))),"NO",IF(RIGHT(M21,1)=MID("0K987654321",MOD(SUMPRODUCT(--MID(RIGHT("00000000"&amp;LEFT(M21,LEN(M21)-1),8),{1,2,3,4,5,6,7,8},1),{3,2,7,6,5,4,3,2}),11)+1,1),"SI","NO"))</f>
        <v>SI</v>
      </c>
      <c r="O21" s="13" t="str">
        <f ca="1">IF(LEFT(K21,9)="RECHAZADO",COUNTIF($K$5:K21,"RECHAZADO*"),"")</f>
        <v/>
      </c>
      <c r="P21" s="14" t="str">
        <f t="shared" ca="1" si="3"/>
        <v>OK</v>
      </c>
      <c r="Q21" s="14" t="str">
        <f>IF(COUNTIF(Catalogo_Planes_PIMS!$B$5:$B$7,H21)=1,"SI","NO")</f>
        <v>SI</v>
      </c>
      <c r="R21" s="14" t="str">
        <f t="shared" si="4"/>
        <v>OK</v>
      </c>
      <c r="S21" s="15" t="str">
        <f ca="1">IF(P21&lt;&gt;"OK","Revisar campos obligatorios, fechas y prima",IF(R21="DUPLICADO","ID_Solicitud duplicado",IF(Q21="NO","Plan no existe en catálogo",IF(AND(G21&lt;&gt;"",OR(G21&lt;IFERROR(INDEX(Catalogo_Planes_PIMS!$D$5:$D$7,MATCH(H21,Catalogo_Planes_PIMS!$B$5:$B$7,0)),18),G21&gt;IFERROR(INDEX(Catalogo_Planes_PIMS!$E$5:$E$7,MATCH(H21,Catalogo_Planes_PIMS!$B$5:$B$7,0)),65))),"Edad fuera de rango",IF(N21="NO","RUT inválido",IF(OR(J21="",I21&lt;&gt;J21),"Descalce de prima","Sin errores adicionales"))))))</f>
        <v>Sin errores adicionales</v>
      </c>
    </row>
    <row r="22" spans="1:19" x14ac:dyDescent="0.25">
      <c r="A22" s="7" t="s">
        <v>78</v>
      </c>
      <c r="B22" s="8">
        <v>46298</v>
      </c>
      <c r="C22" s="7" t="s">
        <v>34</v>
      </c>
      <c r="D22" s="9" t="s">
        <v>79</v>
      </c>
      <c r="E22" s="9" t="s">
        <v>80</v>
      </c>
      <c r="F22" s="8">
        <v>35207</v>
      </c>
      <c r="G22" s="10">
        <f t="shared" ca="1" si="0"/>
        <v>30</v>
      </c>
      <c r="H22" s="7" t="s">
        <v>44</v>
      </c>
      <c r="I22" s="11">
        <v>12990</v>
      </c>
      <c r="J22" s="11">
        <f>IFERROR(INDEX(Catalogo_Planes_PIMS!$C$5:$C$7,MATCH(H22,Catalogo_Planes_PIMS!$B$5:$B$7,0)),"")</f>
        <v>12990</v>
      </c>
      <c r="K22" s="7" t="str">
        <f ca="1">IF(P22&lt;&gt;"OK","RECHAZADO_DATOS_INCOMPLETOS",IF(R22="DUPLICADO","RECHAZADO_ID_DUPLICADO",IF(Q22="NO","RECHAZADO_PLAN_NO_CATALOGADO",IF(OR(G22="",G22&lt;IFERROR(INDEX(Catalogo_Planes_PIMS!$D$5:$D$7,MATCH(H22,Catalogo_Planes_PIMS!$B$5:$B$7,0)),18),G22&gt;IFERROR(INDEX(Catalogo_Planes_PIMS!$E$5:$E$7,MATCH(H22,Catalogo_Planes_PIMS!$B$5:$B$7,0)),65)),"RECHAZADO_ELEGIBILIDAD",IF(N22="NO","RECHAZADO_RUT_INVALIDO",IF(OR(J22="",I22&lt;&gt;J22),"RECHAZADO_DESCALCE_PRIMA","APROBADO_CARGA_PIMS"))))))</f>
        <v>APROBADO_CARGA_PIMS</v>
      </c>
      <c r="L22" s="7" t="str">
        <f t="shared" ca="1" si="1"/>
        <v>Sin observaciones</v>
      </c>
      <c r="M22" s="12" t="str">
        <f t="shared" si="2"/>
        <v>67710037</v>
      </c>
      <c r="N22" s="13" t="str">
        <f>IF(OR(D22="",ISERROR(FIND("-",TRIM(D22))),MID(TRIM(D22),LEN(TRIM(D22))-1,1)&lt;&gt;"-",LEN(M22)&lt;8,LEN(M22)&gt;9,NOT(ISNUMBER(--LEFT(M22,LEN(M22)-1))),NOT(OR(RIGHT(M22,1)="K",IFERROR(ISNUMBER(--RIGHT(M22,1)),FALSE())))),"NO",IF(RIGHT(M22,1)=MID("0K987654321",MOD(SUMPRODUCT(--MID(RIGHT("00000000"&amp;LEFT(M22,LEN(M22)-1),8),{1,2,3,4,5,6,7,8},1),{3,2,7,6,5,4,3,2}),11)+1,1),"SI","NO"))</f>
        <v>SI</v>
      </c>
      <c r="O22" s="13" t="str">
        <f ca="1">IF(LEFT(K22,9)="RECHAZADO",COUNTIF($K$5:K22,"RECHAZADO*"),"")</f>
        <v/>
      </c>
      <c r="P22" s="14" t="str">
        <f t="shared" ca="1" si="3"/>
        <v>OK</v>
      </c>
      <c r="Q22" s="14" t="str">
        <f>IF(COUNTIF(Catalogo_Planes_PIMS!$B$5:$B$7,H22)=1,"SI","NO")</f>
        <v>SI</v>
      </c>
      <c r="R22" s="14" t="str">
        <f t="shared" si="4"/>
        <v>OK</v>
      </c>
      <c r="S22" s="15" t="str">
        <f ca="1">IF(P22&lt;&gt;"OK","Revisar campos obligatorios, fechas y prima",IF(R22="DUPLICADO","ID_Solicitud duplicado",IF(Q22="NO","Plan no existe en catálogo",IF(AND(G22&lt;&gt;"",OR(G22&lt;IFERROR(INDEX(Catalogo_Planes_PIMS!$D$5:$D$7,MATCH(H22,Catalogo_Planes_PIMS!$B$5:$B$7,0)),18),G22&gt;IFERROR(INDEX(Catalogo_Planes_PIMS!$E$5:$E$7,MATCH(H22,Catalogo_Planes_PIMS!$B$5:$B$7,0)),65))),"Edad fuera de rango",IF(N22="NO","RUT inválido",IF(OR(J22="",I22&lt;&gt;J22),"Descalce de prima","Sin errores adicionales"))))))</f>
        <v>Sin errores adicionales</v>
      </c>
    </row>
    <row r="23" spans="1:19" x14ac:dyDescent="0.25">
      <c r="A23" s="7" t="s">
        <v>81</v>
      </c>
      <c r="B23" s="8">
        <v>46298</v>
      </c>
      <c r="C23" s="7" t="s">
        <v>22</v>
      </c>
      <c r="D23" s="9" t="s">
        <v>82</v>
      </c>
      <c r="E23" s="9" t="s">
        <v>83</v>
      </c>
      <c r="F23" s="8">
        <v>29326</v>
      </c>
      <c r="G23" s="10">
        <f t="shared" ca="1" si="0"/>
        <v>46</v>
      </c>
      <c r="H23" s="7" t="s">
        <v>37</v>
      </c>
      <c r="I23" s="11">
        <v>7990</v>
      </c>
      <c r="J23" s="11">
        <f>IFERROR(INDEX(Catalogo_Planes_PIMS!$C$5:$C$7,MATCH(H23,Catalogo_Planes_PIMS!$B$5:$B$7,0)),"")</f>
        <v>7990</v>
      </c>
      <c r="K23" s="7" t="str">
        <f ca="1">IF(P23&lt;&gt;"OK","RECHAZADO_DATOS_INCOMPLETOS",IF(R23="DUPLICADO","RECHAZADO_ID_DUPLICADO",IF(Q23="NO","RECHAZADO_PLAN_NO_CATALOGADO",IF(OR(G23="",G23&lt;IFERROR(INDEX(Catalogo_Planes_PIMS!$D$5:$D$7,MATCH(H23,Catalogo_Planes_PIMS!$B$5:$B$7,0)),18),G23&gt;IFERROR(INDEX(Catalogo_Planes_PIMS!$E$5:$E$7,MATCH(H23,Catalogo_Planes_PIMS!$B$5:$B$7,0)),65)),"RECHAZADO_ELEGIBILIDAD",IF(N23="NO","RECHAZADO_RUT_INVALIDO",IF(OR(J23="",I23&lt;&gt;J23),"RECHAZADO_DESCALCE_PRIMA","APROBADO_CARGA_PIMS"))))))</f>
        <v>RECHAZADO_RUT_INVALIDO</v>
      </c>
      <c r="L23" s="7" t="str">
        <f t="shared" ca="1" si="1"/>
        <v>RUT con formato o dígito verificador inválido</v>
      </c>
      <c r="M23" s="12" t="str">
        <f t="shared" si="2"/>
        <v>213023210</v>
      </c>
      <c r="N23" s="13" t="str">
        <f>IF(OR(D23="",ISERROR(FIND("-",TRIM(D23))),MID(TRIM(D23),LEN(TRIM(D23))-1,1)&lt;&gt;"-",LEN(M23)&lt;8,LEN(M23)&gt;9,NOT(ISNUMBER(--LEFT(M23,LEN(M23)-1))),NOT(OR(RIGHT(M23,1)="K",IFERROR(ISNUMBER(--RIGHT(M23,1)),FALSE())))),"NO",IF(RIGHT(M23,1)=MID("0K987654321",MOD(SUMPRODUCT(--MID(RIGHT("00000000"&amp;LEFT(M23,LEN(M23)-1),8),{1,2,3,4,5,6,7,8},1),{3,2,7,6,5,4,3,2}),11)+1,1),"SI","NO"))</f>
        <v>NO</v>
      </c>
      <c r="O23" s="13">
        <f ca="1">IF(LEFT(K23,9)="RECHAZADO",COUNTIF($K$5:K23,"RECHAZADO*"),"")</f>
        <v>9</v>
      </c>
      <c r="P23" s="14" t="str">
        <f t="shared" ca="1" si="3"/>
        <v>OK</v>
      </c>
      <c r="Q23" s="14" t="str">
        <f>IF(COUNTIF(Catalogo_Planes_PIMS!$B$5:$B$7,H23)=1,"SI","NO")</f>
        <v>SI</v>
      </c>
      <c r="R23" s="14" t="str">
        <f t="shared" si="4"/>
        <v>OK</v>
      </c>
      <c r="S23" s="15" t="str">
        <f ca="1">IF(P23&lt;&gt;"OK","Revisar campos obligatorios, fechas y prima",IF(R23="DUPLICADO","ID_Solicitud duplicado",IF(Q23="NO","Plan no existe en catálogo",IF(AND(G23&lt;&gt;"",OR(G23&lt;IFERROR(INDEX(Catalogo_Planes_PIMS!$D$5:$D$7,MATCH(H23,Catalogo_Planes_PIMS!$B$5:$B$7,0)),18),G23&gt;IFERROR(INDEX(Catalogo_Planes_PIMS!$E$5:$E$7,MATCH(H23,Catalogo_Planes_PIMS!$B$5:$B$7,0)),65))),"Edad fuera de rango",IF(N23="NO","RUT inválido",IF(OR(J23="",I23&lt;&gt;J23),"Descalce de prima","Sin errores adicionales"))))))</f>
        <v>RUT inválido</v>
      </c>
    </row>
    <row r="24" spans="1:19" x14ac:dyDescent="0.25">
      <c r="A24" s="7" t="s">
        <v>84</v>
      </c>
      <c r="B24" s="8">
        <v>46299</v>
      </c>
      <c r="C24" s="7" t="s">
        <v>27</v>
      </c>
      <c r="D24" s="9" t="s">
        <v>85</v>
      </c>
      <c r="E24" s="9" t="s">
        <v>86</v>
      </c>
      <c r="F24" s="8">
        <v>26714</v>
      </c>
      <c r="G24" s="10">
        <f t="shared" ca="1" si="0"/>
        <v>53</v>
      </c>
      <c r="H24" s="7" t="s">
        <v>37</v>
      </c>
      <c r="I24" s="11">
        <v>7990</v>
      </c>
      <c r="J24" s="11">
        <f>IFERROR(INDEX(Catalogo_Planes_PIMS!$C$5:$C$7,MATCH(H24,Catalogo_Planes_PIMS!$B$5:$B$7,0)),"")</f>
        <v>7990</v>
      </c>
      <c r="K24" s="7" t="str">
        <f ca="1">IF(P24&lt;&gt;"OK","RECHAZADO_DATOS_INCOMPLETOS",IF(R24="DUPLICADO","RECHAZADO_ID_DUPLICADO",IF(Q24="NO","RECHAZADO_PLAN_NO_CATALOGADO",IF(OR(G24="",G24&lt;IFERROR(INDEX(Catalogo_Planes_PIMS!$D$5:$D$7,MATCH(H24,Catalogo_Planes_PIMS!$B$5:$B$7,0)),18),G24&gt;IFERROR(INDEX(Catalogo_Planes_PIMS!$E$5:$E$7,MATCH(H24,Catalogo_Planes_PIMS!$B$5:$B$7,0)),65)),"RECHAZADO_ELEGIBILIDAD",IF(N24="NO","RECHAZADO_RUT_INVALIDO",IF(OR(J24="",I24&lt;&gt;J24),"RECHAZADO_DESCALCE_PRIMA","APROBADO_CARGA_PIMS"))))))</f>
        <v>APROBADO_CARGA_PIMS</v>
      </c>
      <c r="L24" s="7" t="str">
        <f t="shared" ca="1" si="1"/>
        <v>Sin observaciones</v>
      </c>
      <c r="M24" s="12" t="str">
        <f t="shared" si="2"/>
        <v>100077493</v>
      </c>
      <c r="N24" s="13" t="str">
        <f>IF(OR(D24="",ISERROR(FIND("-",TRIM(D24))),MID(TRIM(D24),LEN(TRIM(D24))-1,1)&lt;&gt;"-",LEN(M24)&lt;8,LEN(M24)&gt;9,NOT(ISNUMBER(--LEFT(M24,LEN(M24)-1))),NOT(OR(RIGHT(M24,1)="K",IFERROR(ISNUMBER(--RIGHT(M24,1)),FALSE())))),"NO",IF(RIGHT(M24,1)=MID("0K987654321",MOD(SUMPRODUCT(--MID(RIGHT("00000000"&amp;LEFT(M24,LEN(M24)-1),8),{1,2,3,4,5,6,7,8},1),{3,2,7,6,5,4,3,2}),11)+1,1),"SI","NO"))</f>
        <v>SI</v>
      </c>
      <c r="O24" s="13" t="str">
        <f ca="1">IF(LEFT(K24,9)="RECHAZADO",COUNTIF($K$5:K24,"RECHAZADO*"),"")</f>
        <v/>
      </c>
      <c r="P24" s="14" t="str">
        <f t="shared" ca="1" si="3"/>
        <v>OK</v>
      </c>
      <c r="Q24" s="14" t="str">
        <f>IF(COUNTIF(Catalogo_Planes_PIMS!$B$5:$B$7,H24)=1,"SI","NO")</f>
        <v>SI</v>
      </c>
      <c r="R24" s="14" t="str">
        <f t="shared" si="4"/>
        <v>OK</v>
      </c>
      <c r="S24" s="15" t="str">
        <f ca="1">IF(P24&lt;&gt;"OK","Revisar campos obligatorios, fechas y prima",IF(R24="DUPLICADO","ID_Solicitud duplicado",IF(Q24="NO","Plan no existe en catálogo",IF(AND(G24&lt;&gt;"",OR(G24&lt;IFERROR(INDEX(Catalogo_Planes_PIMS!$D$5:$D$7,MATCH(H24,Catalogo_Planes_PIMS!$B$5:$B$7,0)),18),G24&gt;IFERROR(INDEX(Catalogo_Planes_PIMS!$E$5:$E$7,MATCH(H24,Catalogo_Planes_PIMS!$B$5:$B$7,0)),65))),"Edad fuera de rango",IF(N24="NO","RUT inválido",IF(OR(J24="",I24&lt;&gt;J24),"Descalce de prima","Sin errores adicionales"))))))</f>
        <v>Sin errores adicionales</v>
      </c>
    </row>
    <row r="25" spans="1:19" x14ac:dyDescent="0.25">
      <c r="A25" s="7" t="s">
        <v>87</v>
      </c>
      <c r="B25" s="8">
        <v>46299</v>
      </c>
      <c r="C25" s="7" t="s">
        <v>34</v>
      </c>
      <c r="D25" s="9" t="s">
        <v>88</v>
      </c>
      <c r="E25" s="9" t="s">
        <v>89</v>
      </c>
      <c r="F25" s="8">
        <v>26385</v>
      </c>
      <c r="G25" s="10">
        <f t="shared" ca="1" si="0"/>
        <v>54</v>
      </c>
      <c r="H25" s="7" t="s">
        <v>25</v>
      </c>
      <c r="I25" s="11">
        <v>15990</v>
      </c>
      <c r="J25" s="11">
        <f>IFERROR(INDEX(Catalogo_Planes_PIMS!$C$5:$C$7,MATCH(H25,Catalogo_Planes_PIMS!$B$5:$B$7,0)),"")</f>
        <v>18990</v>
      </c>
      <c r="K25" s="7" t="str">
        <f ca="1">IF(P25&lt;&gt;"OK","RECHAZADO_DATOS_INCOMPLETOS",IF(R25="DUPLICADO","RECHAZADO_ID_DUPLICADO",IF(Q25="NO","RECHAZADO_PLAN_NO_CATALOGADO",IF(OR(G25="",G25&lt;IFERROR(INDEX(Catalogo_Planes_PIMS!$D$5:$D$7,MATCH(H25,Catalogo_Planes_PIMS!$B$5:$B$7,0)),18),G25&gt;IFERROR(INDEX(Catalogo_Planes_PIMS!$E$5:$E$7,MATCH(H25,Catalogo_Planes_PIMS!$B$5:$B$7,0)),65)),"RECHAZADO_ELEGIBILIDAD",IF(N25="NO","RECHAZADO_RUT_INVALIDO",IF(OR(J25="",I25&lt;&gt;J25),"RECHAZADO_DESCALCE_PRIMA","APROBADO_CARGA_PIMS"))))))</f>
        <v>RECHAZADO_RUT_INVALIDO</v>
      </c>
      <c r="L25" s="7" t="str">
        <f t="shared" ca="1" si="1"/>
        <v>RUT con formato o dígito verificador inválido</v>
      </c>
      <c r="M25" s="12" t="str">
        <f t="shared" si="2"/>
        <v>793376SK</v>
      </c>
      <c r="N25" s="13" t="str">
        <f>IF(OR(D25="",ISERROR(FIND("-",TRIM(D25))),MID(TRIM(D25),LEN(TRIM(D25))-1,1)&lt;&gt;"-",LEN(M25)&lt;8,LEN(M25)&gt;9,NOT(ISNUMBER(--LEFT(M25,LEN(M25)-1))),NOT(OR(RIGHT(M25,1)="K",IFERROR(ISNUMBER(--RIGHT(M25,1)),FALSE())))),"NO",IF(RIGHT(M25,1)=MID("0K987654321",MOD(SUMPRODUCT(--MID(RIGHT("00000000"&amp;LEFT(M25,LEN(M25)-1),8),{1,2,3,4,5,6,7,8},1),{3,2,7,6,5,4,3,2}),11)+1,1),"SI","NO"))</f>
        <v>NO</v>
      </c>
      <c r="O25" s="13">
        <f ca="1">IF(LEFT(K25,9)="RECHAZADO",COUNTIF($K$5:K25,"RECHAZADO*"),"")</f>
        <v>10</v>
      </c>
      <c r="P25" s="14" t="str">
        <f t="shared" ca="1" si="3"/>
        <v>OK</v>
      </c>
      <c r="Q25" s="14" t="str">
        <f>IF(COUNTIF(Catalogo_Planes_PIMS!$B$5:$B$7,H25)=1,"SI","NO")</f>
        <v>SI</v>
      </c>
      <c r="R25" s="14" t="str">
        <f t="shared" si="4"/>
        <v>OK</v>
      </c>
      <c r="S25" s="15" t="str">
        <f ca="1">IF(P25&lt;&gt;"OK","Revisar campos obligatorios, fechas y prima",IF(R25="DUPLICADO","ID_Solicitud duplicado",IF(Q25="NO","Plan no existe en catálogo",IF(AND(G25&lt;&gt;"",OR(G25&lt;IFERROR(INDEX(Catalogo_Planes_PIMS!$D$5:$D$7,MATCH(H25,Catalogo_Planes_PIMS!$B$5:$B$7,0)),18),G25&gt;IFERROR(INDEX(Catalogo_Planes_PIMS!$E$5:$E$7,MATCH(H25,Catalogo_Planes_PIMS!$B$5:$B$7,0)),65))),"Edad fuera de rango",IF(N25="NO","RUT inválido",IF(OR(J25="",I25&lt;&gt;J25),"Descalce de prima","Sin errores adicionales"))))))</f>
        <v>RUT inválido</v>
      </c>
    </row>
    <row r="26" spans="1:19" x14ac:dyDescent="0.25">
      <c r="A26" s="7" t="s">
        <v>90</v>
      </c>
      <c r="B26" s="8">
        <v>46299</v>
      </c>
      <c r="C26" s="7" t="s">
        <v>22</v>
      </c>
      <c r="D26" s="9" t="s">
        <v>91</v>
      </c>
      <c r="E26" s="9" t="s">
        <v>92</v>
      </c>
      <c r="F26" s="8">
        <v>23434</v>
      </c>
      <c r="G26" s="10">
        <f t="shared" ca="1" si="0"/>
        <v>62</v>
      </c>
      <c r="H26" s="7" t="s">
        <v>25</v>
      </c>
      <c r="I26" s="11">
        <v>21990</v>
      </c>
      <c r="J26" s="11">
        <f>IFERROR(INDEX(Catalogo_Planes_PIMS!$C$5:$C$7,MATCH(H26,Catalogo_Planes_PIMS!$B$5:$B$7,0)),"")</f>
        <v>18990</v>
      </c>
      <c r="K26" s="7" t="str">
        <f ca="1">IF(P26&lt;&gt;"OK","RECHAZADO_DATOS_INCOMPLETOS",IF(R26="DUPLICADO","RECHAZADO_ID_DUPLICADO",IF(Q26="NO","RECHAZADO_PLAN_NO_CATALOGADO",IF(OR(G26="",G26&lt;IFERROR(INDEX(Catalogo_Planes_PIMS!$D$5:$D$7,MATCH(H26,Catalogo_Planes_PIMS!$B$5:$B$7,0)),18),G26&gt;IFERROR(INDEX(Catalogo_Planes_PIMS!$E$5:$E$7,MATCH(H26,Catalogo_Planes_PIMS!$B$5:$B$7,0)),65)),"RECHAZADO_ELEGIBILIDAD",IF(N26="NO","RECHAZADO_RUT_INVALIDO",IF(OR(J26="",I26&lt;&gt;J26),"RECHAZADO_DESCALCE_PRIMA","APROBADO_CARGA_PIMS"))))))</f>
        <v>RECHAZADO_RUT_INVALIDO</v>
      </c>
      <c r="L26" s="7" t="str">
        <f t="shared" ca="1" si="1"/>
        <v>RUT con formato o dígito verificador inválido</v>
      </c>
      <c r="M26" s="12" t="str">
        <f t="shared" si="2"/>
        <v>166999212</v>
      </c>
      <c r="N26" s="13" t="str">
        <f>IF(OR(D26="",ISERROR(FIND("-",TRIM(D26))),MID(TRIM(D26),LEN(TRIM(D26))-1,1)&lt;&gt;"-",LEN(M26)&lt;8,LEN(M26)&gt;9,NOT(ISNUMBER(--LEFT(M26,LEN(M26)-1))),NOT(OR(RIGHT(M26,1)="K",IFERROR(ISNUMBER(--RIGHT(M26,1)),FALSE())))),"NO",IF(RIGHT(M26,1)=MID("0K987654321",MOD(SUMPRODUCT(--MID(RIGHT("00000000"&amp;LEFT(M26,LEN(M26)-1),8),{1,2,3,4,5,6,7,8},1),{3,2,7,6,5,4,3,2}),11)+1,1),"SI","NO"))</f>
        <v>NO</v>
      </c>
      <c r="O26" s="13">
        <f ca="1">IF(LEFT(K26,9)="RECHAZADO",COUNTIF($K$5:K26,"RECHAZADO*"),"")</f>
        <v>11</v>
      </c>
      <c r="P26" s="14" t="str">
        <f t="shared" ca="1" si="3"/>
        <v>OK</v>
      </c>
      <c r="Q26" s="14" t="str">
        <f>IF(COUNTIF(Catalogo_Planes_PIMS!$B$5:$B$7,H26)=1,"SI","NO")</f>
        <v>SI</v>
      </c>
      <c r="R26" s="14" t="str">
        <f t="shared" si="4"/>
        <v>OK</v>
      </c>
      <c r="S26" s="15" t="str">
        <f ca="1">IF(P26&lt;&gt;"OK","Revisar campos obligatorios, fechas y prima",IF(R26="DUPLICADO","ID_Solicitud duplicado",IF(Q26="NO","Plan no existe en catálogo",IF(AND(G26&lt;&gt;"",OR(G26&lt;IFERROR(INDEX(Catalogo_Planes_PIMS!$D$5:$D$7,MATCH(H26,Catalogo_Planes_PIMS!$B$5:$B$7,0)),18),G26&gt;IFERROR(INDEX(Catalogo_Planes_PIMS!$E$5:$E$7,MATCH(H26,Catalogo_Planes_PIMS!$B$5:$B$7,0)),65))),"Edad fuera de rango",IF(N26="NO","RUT inválido",IF(OR(J26="",I26&lt;&gt;J26),"Descalce de prima","Sin errores adicionales"))))))</f>
        <v>RUT inválido</v>
      </c>
    </row>
    <row r="27" spans="1:19" x14ac:dyDescent="0.25">
      <c r="A27" s="7" t="s">
        <v>93</v>
      </c>
      <c r="B27" s="8">
        <v>46299</v>
      </c>
      <c r="C27" s="7" t="s">
        <v>34</v>
      </c>
      <c r="D27" s="9" t="s">
        <v>94</v>
      </c>
      <c r="E27" s="9" t="s">
        <v>95</v>
      </c>
      <c r="F27" s="8">
        <v>41814</v>
      </c>
      <c r="G27" s="10">
        <f t="shared" ca="1" si="0"/>
        <v>12</v>
      </c>
      <c r="H27" s="7" t="s">
        <v>37</v>
      </c>
      <c r="I27" s="11">
        <v>7990</v>
      </c>
      <c r="J27" s="11">
        <f>IFERROR(INDEX(Catalogo_Planes_PIMS!$C$5:$C$7,MATCH(H27,Catalogo_Planes_PIMS!$B$5:$B$7,0)),"")</f>
        <v>7990</v>
      </c>
      <c r="K27" s="7" t="str">
        <f ca="1">IF(P27&lt;&gt;"OK","RECHAZADO_DATOS_INCOMPLETOS",IF(R27="DUPLICADO","RECHAZADO_ID_DUPLICADO",IF(Q27="NO","RECHAZADO_PLAN_NO_CATALOGADO",IF(OR(G27="",G27&lt;IFERROR(INDEX(Catalogo_Planes_PIMS!$D$5:$D$7,MATCH(H27,Catalogo_Planes_PIMS!$B$5:$B$7,0)),18),G27&gt;IFERROR(INDEX(Catalogo_Planes_PIMS!$E$5:$E$7,MATCH(H27,Catalogo_Planes_PIMS!$B$5:$B$7,0)),65)),"RECHAZADO_ELEGIBILIDAD",IF(N27="NO","RECHAZADO_RUT_INVALIDO",IF(OR(J27="",I27&lt;&gt;J27),"RECHAZADO_DESCALCE_PRIMA","APROBADO_CARGA_PIMS"))))))</f>
        <v>RECHAZADO_ELEGIBILIDAD</v>
      </c>
      <c r="L27" s="7" t="str">
        <f t="shared" ca="1" si="1"/>
        <v>Edad fuera del rango definido en catálogo</v>
      </c>
      <c r="M27" s="12" t="str">
        <f t="shared" si="2"/>
        <v>101166325</v>
      </c>
      <c r="N27" s="13" t="str">
        <f>IF(OR(D27="",ISERROR(FIND("-",TRIM(D27))),MID(TRIM(D27),LEN(TRIM(D27))-1,1)&lt;&gt;"-",LEN(M27)&lt;8,LEN(M27)&gt;9,NOT(ISNUMBER(--LEFT(M27,LEN(M27)-1))),NOT(OR(RIGHT(M27,1)="K",IFERROR(ISNUMBER(--RIGHT(M27,1)),FALSE())))),"NO",IF(RIGHT(M27,1)=MID("0K987654321",MOD(SUMPRODUCT(--MID(RIGHT("00000000"&amp;LEFT(M27,LEN(M27)-1),8),{1,2,3,4,5,6,7,8},1),{3,2,7,6,5,4,3,2}),11)+1,1),"SI","NO"))</f>
        <v>SI</v>
      </c>
      <c r="O27" s="13">
        <f ca="1">IF(LEFT(K27,9)="RECHAZADO",COUNTIF($K$5:K27,"RECHAZADO*"),"")</f>
        <v>12</v>
      </c>
      <c r="P27" s="14" t="str">
        <f t="shared" ca="1" si="3"/>
        <v>OK</v>
      </c>
      <c r="Q27" s="14" t="str">
        <f>IF(COUNTIF(Catalogo_Planes_PIMS!$B$5:$B$7,H27)=1,"SI","NO")</f>
        <v>SI</v>
      </c>
      <c r="R27" s="14" t="str">
        <f t="shared" si="4"/>
        <v>OK</v>
      </c>
      <c r="S27" s="15" t="str">
        <f ca="1">IF(P27&lt;&gt;"OK","Revisar campos obligatorios, fechas y prima",IF(R27="DUPLICADO","ID_Solicitud duplicado",IF(Q27="NO","Plan no existe en catálogo",IF(AND(G27&lt;&gt;"",OR(G27&lt;IFERROR(INDEX(Catalogo_Planes_PIMS!$D$5:$D$7,MATCH(H27,Catalogo_Planes_PIMS!$B$5:$B$7,0)),18),G27&gt;IFERROR(INDEX(Catalogo_Planes_PIMS!$E$5:$E$7,MATCH(H27,Catalogo_Planes_PIMS!$B$5:$B$7,0)),65))),"Edad fuera de rango",IF(N27="NO","RUT inválido",IF(OR(J27="",I27&lt;&gt;J27),"Descalce de prima","Sin errores adicionales"))))))</f>
        <v>Edad fuera de rango</v>
      </c>
    </row>
    <row r="28" spans="1:19" x14ac:dyDescent="0.25">
      <c r="A28" s="7" t="s">
        <v>96</v>
      </c>
      <c r="B28" s="8">
        <v>46299</v>
      </c>
      <c r="C28" s="7" t="s">
        <v>27</v>
      </c>
      <c r="D28" s="9" t="s">
        <v>97</v>
      </c>
      <c r="E28" s="9" t="s">
        <v>98</v>
      </c>
      <c r="F28" s="8">
        <v>30568</v>
      </c>
      <c r="G28" s="10">
        <f t="shared" ca="1" si="0"/>
        <v>43</v>
      </c>
      <c r="H28" s="7" t="s">
        <v>37</v>
      </c>
      <c r="I28" s="11">
        <v>7990</v>
      </c>
      <c r="J28" s="11">
        <f>IFERROR(INDEX(Catalogo_Planes_PIMS!$C$5:$C$7,MATCH(H28,Catalogo_Planes_PIMS!$B$5:$B$7,0)),"")</f>
        <v>7990</v>
      </c>
      <c r="K28" s="7" t="str">
        <f ca="1">IF(P28&lt;&gt;"OK","RECHAZADO_DATOS_INCOMPLETOS",IF(R28="DUPLICADO","RECHAZADO_ID_DUPLICADO",IF(Q28="NO","RECHAZADO_PLAN_NO_CATALOGADO",IF(OR(G28="",G28&lt;IFERROR(INDEX(Catalogo_Planes_PIMS!$D$5:$D$7,MATCH(H28,Catalogo_Planes_PIMS!$B$5:$B$7,0)),18),G28&gt;IFERROR(INDEX(Catalogo_Planes_PIMS!$E$5:$E$7,MATCH(H28,Catalogo_Planes_PIMS!$B$5:$B$7,0)),65)),"RECHAZADO_ELEGIBILIDAD",IF(N28="NO","RECHAZADO_RUT_INVALIDO",IF(OR(J28="",I28&lt;&gt;J28),"RECHAZADO_DESCALCE_PRIMA","APROBADO_CARGA_PIMS"))))))</f>
        <v>APROBADO_CARGA_PIMS</v>
      </c>
      <c r="L28" s="7" t="str">
        <f t="shared" ca="1" si="1"/>
        <v>Sin observaciones</v>
      </c>
      <c r="M28" s="12" t="str">
        <f t="shared" si="2"/>
        <v>202529186</v>
      </c>
      <c r="N28" s="13" t="str">
        <f>IF(OR(D28="",ISERROR(FIND("-",TRIM(D28))),MID(TRIM(D28),LEN(TRIM(D28))-1,1)&lt;&gt;"-",LEN(M28)&lt;8,LEN(M28)&gt;9,NOT(ISNUMBER(--LEFT(M28,LEN(M28)-1))),NOT(OR(RIGHT(M28,1)="K",IFERROR(ISNUMBER(--RIGHT(M28,1)),FALSE())))),"NO",IF(RIGHT(M28,1)=MID("0K987654321",MOD(SUMPRODUCT(--MID(RIGHT("00000000"&amp;LEFT(M28,LEN(M28)-1),8),{1,2,3,4,5,6,7,8},1),{3,2,7,6,5,4,3,2}),11)+1,1),"SI","NO"))</f>
        <v>SI</v>
      </c>
      <c r="O28" s="13" t="str">
        <f ca="1">IF(LEFT(K28,9)="RECHAZADO",COUNTIF($K$5:K28,"RECHAZADO*"),"")</f>
        <v/>
      </c>
      <c r="P28" s="14" t="str">
        <f t="shared" ca="1" si="3"/>
        <v>OK</v>
      </c>
      <c r="Q28" s="14" t="str">
        <f>IF(COUNTIF(Catalogo_Planes_PIMS!$B$5:$B$7,H28)=1,"SI","NO")</f>
        <v>SI</v>
      </c>
      <c r="R28" s="14" t="str">
        <f t="shared" si="4"/>
        <v>OK</v>
      </c>
      <c r="S28" s="15" t="str">
        <f ca="1">IF(P28&lt;&gt;"OK","Revisar campos obligatorios, fechas y prima",IF(R28="DUPLICADO","ID_Solicitud duplicado",IF(Q28="NO","Plan no existe en catálogo",IF(AND(G28&lt;&gt;"",OR(G28&lt;IFERROR(INDEX(Catalogo_Planes_PIMS!$D$5:$D$7,MATCH(H28,Catalogo_Planes_PIMS!$B$5:$B$7,0)),18),G28&gt;IFERROR(INDEX(Catalogo_Planes_PIMS!$E$5:$E$7,MATCH(H28,Catalogo_Planes_PIMS!$B$5:$B$7,0)),65))),"Edad fuera de rango",IF(N28="NO","RUT inválido",IF(OR(J28="",I28&lt;&gt;J28),"Descalce de prima","Sin errores adicionales"))))))</f>
        <v>Sin errores adicionales</v>
      </c>
    </row>
    <row r="29" spans="1:19" x14ac:dyDescent="0.25">
      <c r="A29" s="7" t="s">
        <v>99</v>
      </c>
      <c r="B29" s="8">
        <v>46300</v>
      </c>
      <c r="C29" s="7" t="s">
        <v>34</v>
      </c>
      <c r="D29" s="9" t="s">
        <v>100</v>
      </c>
      <c r="E29" s="9" t="s">
        <v>101</v>
      </c>
      <c r="F29" s="8">
        <v>26717</v>
      </c>
      <c r="G29" s="10">
        <f t="shared" ca="1" si="0"/>
        <v>53</v>
      </c>
      <c r="H29" s="7" t="s">
        <v>25</v>
      </c>
      <c r="I29" s="11">
        <v>16990</v>
      </c>
      <c r="J29" s="11">
        <f>IFERROR(INDEX(Catalogo_Planes_PIMS!$C$5:$C$7,MATCH(H29,Catalogo_Planes_PIMS!$B$5:$B$7,0)),"")</f>
        <v>18990</v>
      </c>
      <c r="K29" s="7" t="str">
        <f ca="1">IF(P29&lt;&gt;"OK","RECHAZADO_DATOS_INCOMPLETOS",IF(R29="DUPLICADO","RECHAZADO_ID_DUPLICADO",IF(Q29="NO","RECHAZADO_PLAN_NO_CATALOGADO",IF(OR(G29="",G29&lt;IFERROR(INDEX(Catalogo_Planes_PIMS!$D$5:$D$7,MATCH(H29,Catalogo_Planes_PIMS!$B$5:$B$7,0)),18),G29&gt;IFERROR(INDEX(Catalogo_Planes_PIMS!$E$5:$E$7,MATCH(H29,Catalogo_Planes_PIMS!$B$5:$B$7,0)),65)),"RECHAZADO_ELEGIBILIDAD",IF(N29="NO","RECHAZADO_RUT_INVALIDO",IF(OR(J29="",I29&lt;&gt;J29),"RECHAZADO_DESCALCE_PRIMA","APROBADO_CARGA_PIMS"))))))</f>
        <v>RECHAZADO_DESCALCE_PRIMA</v>
      </c>
      <c r="L29" s="7" t="str">
        <f t="shared" ca="1" si="1"/>
        <v>Prima informada no coincide con tarifa oficial PIMS</v>
      </c>
      <c r="M29" s="12" t="str">
        <f t="shared" si="2"/>
        <v>133673881</v>
      </c>
      <c r="N29" s="13" t="str">
        <f>IF(OR(D29="",ISERROR(FIND("-",TRIM(D29))),MID(TRIM(D29),LEN(TRIM(D29))-1,1)&lt;&gt;"-",LEN(M29)&lt;8,LEN(M29)&gt;9,NOT(ISNUMBER(--LEFT(M29,LEN(M29)-1))),NOT(OR(RIGHT(M29,1)="K",IFERROR(ISNUMBER(--RIGHT(M29,1)),FALSE())))),"NO",IF(RIGHT(M29,1)=MID("0K987654321",MOD(SUMPRODUCT(--MID(RIGHT("00000000"&amp;LEFT(M29,LEN(M29)-1),8),{1,2,3,4,5,6,7,8},1),{3,2,7,6,5,4,3,2}),11)+1,1),"SI","NO"))</f>
        <v>SI</v>
      </c>
      <c r="O29" s="13">
        <f ca="1">IF(LEFT(K29,9)="RECHAZADO",COUNTIF($K$5:K29,"RECHAZADO*"),"")</f>
        <v>13</v>
      </c>
      <c r="P29" s="14" t="str">
        <f t="shared" ca="1" si="3"/>
        <v>OK</v>
      </c>
      <c r="Q29" s="14" t="str">
        <f>IF(COUNTIF(Catalogo_Planes_PIMS!$B$5:$B$7,H29)=1,"SI","NO")</f>
        <v>SI</v>
      </c>
      <c r="R29" s="14" t="str">
        <f t="shared" si="4"/>
        <v>OK</v>
      </c>
      <c r="S29" s="15" t="str">
        <f ca="1">IF(P29&lt;&gt;"OK","Revisar campos obligatorios, fechas y prima",IF(R29="DUPLICADO","ID_Solicitud duplicado",IF(Q29="NO","Plan no existe en catálogo",IF(AND(G29&lt;&gt;"",OR(G29&lt;IFERROR(INDEX(Catalogo_Planes_PIMS!$D$5:$D$7,MATCH(H29,Catalogo_Planes_PIMS!$B$5:$B$7,0)),18),G29&gt;IFERROR(INDEX(Catalogo_Planes_PIMS!$E$5:$E$7,MATCH(H29,Catalogo_Planes_PIMS!$B$5:$B$7,0)),65))),"Edad fuera de rango",IF(N29="NO","RUT inválido",IF(OR(J29="",I29&lt;&gt;J29),"Descalce de prima","Sin errores adicionales"))))))</f>
        <v>Descalce de prima</v>
      </c>
    </row>
    <row r="30" spans="1:19" x14ac:dyDescent="0.25">
      <c r="A30" s="7" t="s">
        <v>102</v>
      </c>
      <c r="B30" s="8">
        <v>46300</v>
      </c>
      <c r="C30" s="7" t="s">
        <v>22</v>
      </c>
      <c r="D30" s="9" t="s">
        <v>103</v>
      </c>
      <c r="E30" s="9" t="s">
        <v>104</v>
      </c>
      <c r="F30" s="8">
        <v>24539</v>
      </c>
      <c r="G30" s="10">
        <f t="shared" ca="1" si="0"/>
        <v>59</v>
      </c>
      <c r="H30" s="7" t="s">
        <v>37</v>
      </c>
      <c r="I30" s="11">
        <v>7990</v>
      </c>
      <c r="J30" s="11">
        <f>IFERROR(INDEX(Catalogo_Planes_PIMS!$C$5:$C$7,MATCH(H30,Catalogo_Planes_PIMS!$B$5:$B$7,0)),"")</f>
        <v>7990</v>
      </c>
      <c r="K30" s="7" t="str">
        <f ca="1">IF(P30&lt;&gt;"OK","RECHAZADO_DATOS_INCOMPLETOS",IF(R30="DUPLICADO","RECHAZADO_ID_DUPLICADO",IF(Q30="NO","RECHAZADO_PLAN_NO_CATALOGADO",IF(OR(G30="",G30&lt;IFERROR(INDEX(Catalogo_Planes_PIMS!$D$5:$D$7,MATCH(H30,Catalogo_Planes_PIMS!$B$5:$B$7,0)),18),G30&gt;IFERROR(INDEX(Catalogo_Planes_PIMS!$E$5:$E$7,MATCH(H30,Catalogo_Planes_PIMS!$B$5:$B$7,0)),65)),"RECHAZADO_ELEGIBILIDAD",IF(N30="NO","RECHAZADO_RUT_INVALIDO",IF(OR(J30="",I30&lt;&gt;J30),"RECHAZADO_DESCALCE_PRIMA","APROBADO_CARGA_PIMS"))))))</f>
        <v>APROBADO_CARGA_PIMS</v>
      </c>
      <c r="L30" s="7" t="str">
        <f t="shared" ca="1" si="1"/>
        <v>Sin observaciones</v>
      </c>
      <c r="M30" s="12" t="str">
        <f t="shared" si="2"/>
        <v>145555183</v>
      </c>
      <c r="N30" s="13" t="str">
        <f>IF(OR(D30="",ISERROR(FIND("-",TRIM(D30))),MID(TRIM(D30),LEN(TRIM(D30))-1,1)&lt;&gt;"-",LEN(M30)&lt;8,LEN(M30)&gt;9,NOT(ISNUMBER(--LEFT(M30,LEN(M30)-1))),NOT(OR(RIGHT(M30,1)="K",IFERROR(ISNUMBER(--RIGHT(M30,1)),FALSE())))),"NO",IF(RIGHT(M30,1)=MID("0K987654321",MOD(SUMPRODUCT(--MID(RIGHT("00000000"&amp;LEFT(M30,LEN(M30)-1),8),{1,2,3,4,5,6,7,8},1),{3,2,7,6,5,4,3,2}),11)+1,1),"SI","NO"))</f>
        <v>SI</v>
      </c>
      <c r="O30" s="13" t="str">
        <f ca="1">IF(LEFT(K30,9)="RECHAZADO",COUNTIF($K$5:K30,"RECHAZADO*"),"")</f>
        <v/>
      </c>
      <c r="P30" s="14" t="str">
        <f t="shared" ca="1" si="3"/>
        <v>OK</v>
      </c>
      <c r="Q30" s="14" t="str">
        <f>IF(COUNTIF(Catalogo_Planes_PIMS!$B$5:$B$7,H30)=1,"SI","NO")</f>
        <v>SI</v>
      </c>
      <c r="R30" s="14" t="str">
        <f t="shared" si="4"/>
        <v>OK</v>
      </c>
      <c r="S30" s="15" t="str">
        <f ca="1">IF(P30&lt;&gt;"OK","Revisar campos obligatorios, fechas y prima",IF(R30="DUPLICADO","ID_Solicitud duplicado",IF(Q30="NO","Plan no existe en catálogo",IF(AND(G30&lt;&gt;"",OR(G30&lt;IFERROR(INDEX(Catalogo_Planes_PIMS!$D$5:$D$7,MATCH(H30,Catalogo_Planes_PIMS!$B$5:$B$7,0)),18),G30&gt;IFERROR(INDEX(Catalogo_Planes_PIMS!$E$5:$E$7,MATCH(H30,Catalogo_Planes_PIMS!$B$5:$B$7,0)),65))),"Edad fuera de rango",IF(N30="NO","RUT inválido",IF(OR(J30="",I30&lt;&gt;J30),"Descalce de prima","Sin errores adicionales"))))))</f>
        <v>Sin errores adicionales</v>
      </c>
    </row>
    <row r="31" spans="1:19" x14ac:dyDescent="0.25">
      <c r="A31" s="7" t="s">
        <v>105</v>
      </c>
      <c r="B31" s="8">
        <v>46300</v>
      </c>
      <c r="C31" s="7" t="s">
        <v>34</v>
      </c>
      <c r="D31" s="9" t="s">
        <v>106</v>
      </c>
      <c r="E31" s="9" t="s">
        <v>107</v>
      </c>
      <c r="F31" s="8">
        <v>24862</v>
      </c>
      <c r="G31" s="10">
        <f t="shared" ca="1" si="0"/>
        <v>58</v>
      </c>
      <c r="H31" s="7" t="s">
        <v>25</v>
      </c>
      <c r="I31" s="11">
        <v>18990</v>
      </c>
      <c r="J31" s="11">
        <f>IFERROR(INDEX(Catalogo_Planes_PIMS!$C$5:$C$7,MATCH(H31,Catalogo_Planes_PIMS!$B$5:$B$7,0)),"")</f>
        <v>18990</v>
      </c>
      <c r="K31" s="7" t="str">
        <f ca="1">IF(P31&lt;&gt;"OK","RECHAZADO_DATOS_INCOMPLETOS",IF(R31="DUPLICADO","RECHAZADO_ID_DUPLICADO",IF(Q31="NO","RECHAZADO_PLAN_NO_CATALOGADO",IF(OR(G31="",G31&lt;IFERROR(INDEX(Catalogo_Planes_PIMS!$D$5:$D$7,MATCH(H31,Catalogo_Planes_PIMS!$B$5:$B$7,0)),18),G31&gt;IFERROR(INDEX(Catalogo_Planes_PIMS!$E$5:$E$7,MATCH(H31,Catalogo_Planes_PIMS!$B$5:$B$7,0)),65)),"RECHAZADO_ELEGIBILIDAD",IF(N31="NO","RECHAZADO_RUT_INVALIDO",IF(OR(J31="",I31&lt;&gt;J31),"RECHAZADO_DESCALCE_PRIMA","APROBADO_CARGA_PIMS"))))))</f>
        <v>APROBADO_CARGA_PIMS</v>
      </c>
      <c r="L31" s="7" t="str">
        <f t="shared" ca="1" si="1"/>
        <v>Sin observaciones</v>
      </c>
      <c r="M31" s="12" t="str">
        <f t="shared" si="2"/>
        <v>200217187</v>
      </c>
      <c r="N31" s="13" t="str">
        <f>IF(OR(D31="",ISERROR(FIND("-",TRIM(D31))),MID(TRIM(D31),LEN(TRIM(D31))-1,1)&lt;&gt;"-",LEN(M31)&lt;8,LEN(M31)&gt;9,NOT(ISNUMBER(--LEFT(M31,LEN(M31)-1))),NOT(OR(RIGHT(M31,1)="K",IFERROR(ISNUMBER(--RIGHT(M31,1)),FALSE())))),"NO",IF(RIGHT(M31,1)=MID("0K987654321",MOD(SUMPRODUCT(--MID(RIGHT("00000000"&amp;LEFT(M31,LEN(M31)-1),8),{1,2,3,4,5,6,7,8},1),{3,2,7,6,5,4,3,2}),11)+1,1),"SI","NO"))</f>
        <v>SI</v>
      </c>
      <c r="O31" s="13" t="str">
        <f ca="1">IF(LEFT(K31,9)="RECHAZADO",COUNTIF($K$5:K31,"RECHAZADO*"),"")</f>
        <v/>
      </c>
      <c r="P31" s="14" t="str">
        <f t="shared" ca="1" si="3"/>
        <v>OK</v>
      </c>
      <c r="Q31" s="14" t="str">
        <f>IF(COUNTIF(Catalogo_Planes_PIMS!$B$5:$B$7,H31)=1,"SI","NO")</f>
        <v>SI</v>
      </c>
      <c r="R31" s="14" t="str">
        <f t="shared" si="4"/>
        <v>OK</v>
      </c>
      <c r="S31" s="15" t="str">
        <f ca="1">IF(P31&lt;&gt;"OK","Revisar campos obligatorios, fechas y prima",IF(R31="DUPLICADO","ID_Solicitud duplicado",IF(Q31="NO","Plan no existe en catálogo",IF(AND(G31&lt;&gt;"",OR(G31&lt;IFERROR(INDEX(Catalogo_Planes_PIMS!$D$5:$D$7,MATCH(H31,Catalogo_Planes_PIMS!$B$5:$B$7,0)),18),G31&gt;IFERROR(INDEX(Catalogo_Planes_PIMS!$E$5:$E$7,MATCH(H31,Catalogo_Planes_PIMS!$B$5:$B$7,0)),65))),"Edad fuera de rango",IF(N31="NO","RUT inválido",IF(OR(J31="",I31&lt;&gt;J31),"Descalce de prima","Sin errores adicionales"))))))</f>
        <v>Sin errores adicionales</v>
      </c>
    </row>
    <row r="32" spans="1:19" x14ac:dyDescent="0.25">
      <c r="A32" s="7" t="s">
        <v>108</v>
      </c>
      <c r="B32" s="8">
        <v>46300</v>
      </c>
      <c r="C32" s="7" t="s">
        <v>27</v>
      </c>
      <c r="D32" s="9" t="s">
        <v>109</v>
      </c>
      <c r="E32" s="9" t="s">
        <v>110</v>
      </c>
      <c r="F32" s="8">
        <v>35601</v>
      </c>
      <c r="G32" s="10">
        <f t="shared" ca="1" si="0"/>
        <v>29</v>
      </c>
      <c r="H32" s="7" t="s">
        <v>37</v>
      </c>
      <c r="I32" s="11">
        <v>7990</v>
      </c>
      <c r="J32" s="11">
        <f>IFERROR(INDEX(Catalogo_Planes_PIMS!$C$5:$C$7,MATCH(H32,Catalogo_Planes_PIMS!$B$5:$B$7,0)),"")</f>
        <v>7990</v>
      </c>
      <c r="K32" s="7" t="str">
        <f ca="1">IF(P32&lt;&gt;"OK","RECHAZADO_DATOS_INCOMPLETOS",IF(R32="DUPLICADO","RECHAZADO_ID_DUPLICADO",IF(Q32="NO","RECHAZADO_PLAN_NO_CATALOGADO",IF(OR(G32="",G32&lt;IFERROR(INDEX(Catalogo_Planes_PIMS!$D$5:$D$7,MATCH(H32,Catalogo_Planes_PIMS!$B$5:$B$7,0)),18),G32&gt;IFERROR(INDEX(Catalogo_Planes_PIMS!$E$5:$E$7,MATCH(H32,Catalogo_Planes_PIMS!$B$5:$B$7,0)),65)),"RECHAZADO_ELEGIBILIDAD",IF(N32="NO","RECHAZADO_RUT_INVALIDO",IF(OR(J32="",I32&lt;&gt;J32),"RECHAZADO_DESCALCE_PRIMA","APROBADO_CARGA_PIMS"))))))</f>
        <v>APROBADO_CARGA_PIMS</v>
      </c>
      <c r="L32" s="7" t="str">
        <f t="shared" ca="1" si="1"/>
        <v>Sin observaciones</v>
      </c>
      <c r="M32" s="12" t="str">
        <f t="shared" si="2"/>
        <v>7275364K</v>
      </c>
      <c r="N32" s="13" t="str">
        <f>IF(OR(D32="",ISERROR(FIND("-",TRIM(D32))),MID(TRIM(D32),LEN(TRIM(D32))-1,1)&lt;&gt;"-",LEN(M32)&lt;8,LEN(M32)&gt;9,NOT(ISNUMBER(--LEFT(M32,LEN(M32)-1))),NOT(OR(RIGHT(M32,1)="K",IFERROR(ISNUMBER(--RIGHT(M32,1)),FALSE())))),"NO",IF(RIGHT(M32,1)=MID("0K987654321",MOD(SUMPRODUCT(--MID(RIGHT("00000000"&amp;LEFT(M32,LEN(M32)-1),8),{1,2,3,4,5,6,7,8},1),{3,2,7,6,5,4,3,2}),11)+1,1),"SI","NO"))</f>
        <v>SI</v>
      </c>
      <c r="O32" s="13" t="str">
        <f ca="1">IF(LEFT(K32,9)="RECHAZADO",COUNTIF($K$5:K32,"RECHAZADO*"),"")</f>
        <v/>
      </c>
      <c r="P32" s="14" t="str">
        <f t="shared" ca="1" si="3"/>
        <v>OK</v>
      </c>
      <c r="Q32" s="14" t="str">
        <f>IF(COUNTIF(Catalogo_Planes_PIMS!$B$5:$B$7,H32)=1,"SI","NO")</f>
        <v>SI</v>
      </c>
      <c r="R32" s="14" t="str">
        <f t="shared" si="4"/>
        <v>OK</v>
      </c>
      <c r="S32" s="15" t="str">
        <f ca="1">IF(P32&lt;&gt;"OK","Revisar campos obligatorios, fechas y prima",IF(R32="DUPLICADO","ID_Solicitud duplicado",IF(Q32="NO","Plan no existe en catálogo",IF(AND(G32&lt;&gt;"",OR(G32&lt;IFERROR(INDEX(Catalogo_Planes_PIMS!$D$5:$D$7,MATCH(H32,Catalogo_Planes_PIMS!$B$5:$B$7,0)),18),G32&gt;IFERROR(INDEX(Catalogo_Planes_PIMS!$E$5:$E$7,MATCH(H32,Catalogo_Planes_PIMS!$B$5:$B$7,0)),65))),"Edad fuera de rango",IF(N32="NO","RUT inválido",IF(OR(J32="",I32&lt;&gt;J32),"Descalce de prima","Sin errores adicionales"))))))</f>
        <v>Sin errores adicionales</v>
      </c>
    </row>
    <row r="33" spans="1:19" x14ac:dyDescent="0.25">
      <c r="A33" s="7" t="s">
        <v>111</v>
      </c>
      <c r="B33" s="8">
        <v>46300</v>
      </c>
      <c r="C33" s="7" t="s">
        <v>27</v>
      </c>
      <c r="D33" s="9" t="s">
        <v>112</v>
      </c>
      <c r="E33" s="9" t="s">
        <v>113</v>
      </c>
      <c r="F33" s="8">
        <v>25310</v>
      </c>
      <c r="G33" s="10">
        <f t="shared" ca="1" si="0"/>
        <v>57</v>
      </c>
      <c r="H33" s="7" t="s">
        <v>37</v>
      </c>
      <c r="I33" s="11">
        <v>7990</v>
      </c>
      <c r="J33" s="11">
        <f>IFERROR(INDEX(Catalogo_Planes_PIMS!$C$5:$C$7,MATCH(H33,Catalogo_Planes_PIMS!$B$5:$B$7,0)),"")</f>
        <v>7990</v>
      </c>
      <c r="K33" s="7" t="str">
        <f ca="1">IF(P33&lt;&gt;"OK","RECHAZADO_DATOS_INCOMPLETOS",IF(R33="DUPLICADO","RECHAZADO_ID_DUPLICADO",IF(Q33="NO","RECHAZADO_PLAN_NO_CATALOGADO",IF(OR(G33="",G33&lt;IFERROR(INDEX(Catalogo_Planes_PIMS!$D$5:$D$7,MATCH(H33,Catalogo_Planes_PIMS!$B$5:$B$7,0)),18),G33&gt;IFERROR(INDEX(Catalogo_Planes_PIMS!$E$5:$E$7,MATCH(H33,Catalogo_Planes_PIMS!$B$5:$B$7,0)),65)),"RECHAZADO_ELEGIBILIDAD",IF(N33="NO","RECHAZADO_RUT_INVALIDO",IF(OR(J33="",I33&lt;&gt;J33),"RECHAZADO_DESCALCE_PRIMA","APROBADO_CARGA_PIMS"))))))</f>
        <v>APROBADO_CARGA_PIMS</v>
      </c>
      <c r="L33" s="7" t="str">
        <f t="shared" ca="1" si="1"/>
        <v>Sin observaciones</v>
      </c>
      <c r="M33" s="12" t="str">
        <f t="shared" si="2"/>
        <v>78876298</v>
      </c>
      <c r="N33" s="13" t="str">
        <f>IF(OR(D33="",ISERROR(FIND("-",TRIM(D33))),MID(TRIM(D33),LEN(TRIM(D33))-1,1)&lt;&gt;"-",LEN(M33)&lt;8,LEN(M33)&gt;9,NOT(ISNUMBER(--LEFT(M33,LEN(M33)-1))),NOT(OR(RIGHT(M33,1)="K",IFERROR(ISNUMBER(--RIGHT(M33,1)),FALSE())))),"NO",IF(RIGHT(M33,1)=MID("0K987654321",MOD(SUMPRODUCT(--MID(RIGHT("00000000"&amp;LEFT(M33,LEN(M33)-1),8),{1,2,3,4,5,6,7,8},1),{3,2,7,6,5,4,3,2}),11)+1,1),"SI","NO"))</f>
        <v>SI</v>
      </c>
      <c r="O33" s="13" t="str">
        <f ca="1">IF(LEFT(K33,9)="RECHAZADO",COUNTIF($K$5:K33,"RECHAZADO*"),"")</f>
        <v/>
      </c>
      <c r="P33" s="14" t="str">
        <f t="shared" ca="1" si="3"/>
        <v>OK</v>
      </c>
      <c r="Q33" s="14" t="str">
        <f>IF(COUNTIF(Catalogo_Planes_PIMS!$B$5:$B$7,H33)=1,"SI","NO")</f>
        <v>SI</v>
      </c>
      <c r="R33" s="14" t="str">
        <f t="shared" si="4"/>
        <v>OK</v>
      </c>
      <c r="S33" s="15" t="str">
        <f ca="1">IF(P33&lt;&gt;"OK","Revisar campos obligatorios, fechas y prima",IF(R33="DUPLICADO","ID_Solicitud duplicado",IF(Q33="NO","Plan no existe en catálogo",IF(AND(G33&lt;&gt;"",OR(G33&lt;IFERROR(INDEX(Catalogo_Planes_PIMS!$D$5:$D$7,MATCH(H33,Catalogo_Planes_PIMS!$B$5:$B$7,0)),18),G33&gt;IFERROR(INDEX(Catalogo_Planes_PIMS!$E$5:$E$7,MATCH(H33,Catalogo_Planes_PIMS!$B$5:$B$7,0)),65))),"Edad fuera de rango",IF(N33="NO","RUT inválido",IF(OR(J33="",I33&lt;&gt;J33),"Descalce de prima","Sin errores adicionales"))))))</f>
        <v>Sin errores adicionales</v>
      </c>
    </row>
    <row r="34" spans="1:19" x14ac:dyDescent="0.25">
      <c r="A34" s="7" t="s">
        <v>114</v>
      </c>
      <c r="B34" s="8">
        <v>46300</v>
      </c>
      <c r="C34" s="7" t="s">
        <v>22</v>
      </c>
      <c r="D34" s="9" t="s">
        <v>115</v>
      </c>
      <c r="E34" s="9" t="s">
        <v>116</v>
      </c>
      <c r="F34" s="8">
        <v>21709</v>
      </c>
      <c r="G34" s="10">
        <f t="shared" ca="1" si="0"/>
        <v>67</v>
      </c>
      <c r="H34" s="7" t="s">
        <v>25</v>
      </c>
      <c r="I34" s="11">
        <v>18990</v>
      </c>
      <c r="J34" s="11">
        <f>IFERROR(INDEX(Catalogo_Planes_PIMS!$C$5:$C$7,MATCH(H34,Catalogo_Planes_PIMS!$B$5:$B$7,0)),"")</f>
        <v>18990</v>
      </c>
      <c r="K34" s="7" t="str">
        <f ca="1">IF(P34&lt;&gt;"OK","RECHAZADO_DATOS_INCOMPLETOS",IF(R34="DUPLICADO","RECHAZADO_ID_DUPLICADO",IF(Q34="NO","RECHAZADO_PLAN_NO_CATALOGADO",IF(OR(G34="",G34&lt;IFERROR(INDEX(Catalogo_Planes_PIMS!$D$5:$D$7,MATCH(H34,Catalogo_Planes_PIMS!$B$5:$B$7,0)),18),G34&gt;IFERROR(INDEX(Catalogo_Planes_PIMS!$E$5:$E$7,MATCH(H34,Catalogo_Planes_PIMS!$B$5:$B$7,0)),65)),"RECHAZADO_ELEGIBILIDAD",IF(N34="NO","RECHAZADO_RUT_INVALIDO",IF(OR(J34="",I34&lt;&gt;J34),"RECHAZADO_DESCALCE_PRIMA","APROBADO_CARGA_PIMS"))))))</f>
        <v>RECHAZADO_ELEGIBILIDAD</v>
      </c>
      <c r="L34" s="7" t="str">
        <f t="shared" ca="1" si="1"/>
        <v>Edad fuera del rango definido en catálogo</v>
      </c>
      <c r="M34" s="12" t="str">
        <f t="shared" si="2"/>
        <v>230664633</v>
      </c>
      <c r="N34" s="13" t="str">
        <f>IF(OR(D34="",ISERROR(FIND("-",TRIM(D34))),MID(TRIM(D34),LEN(TRIM(D34))-1,1)&lt;&gt;"-",LEN(M34)&lt;8,LEN(M34)&gt;9,NOT(ISNUMBER(--LEFT(M34,LEN(M34)-1))),NOT(OR(RIGHT(M34,1)="K",IFERROR(ISNUMBER(--RIGHT(M34,1)),FALSE())))),"NO",IF(RIGHT(M34,1)=MID("0K987654321",MOD(SUMPRODUCT(--MID(RIGHT("00000000"&amp;LEFT(M34,LEN(M34)-1),8),{1,2,3,4,5,6,7,8},1),{3,2,7,6,5,4,3,2}),11)+1,1),"SI","NO"))</f>
        <v>SI</v>
      </c>
      <c r="O34" s="13">
        <f ca="1">IF(LEFT(K34,9)="RECHAZADO",COUNTIF($K$5:K34,"RECHAZADO*"),"")</f>
        <v>14</v>
      </c>
      <c r="P34" s="14" t="str">
        <f t="shared" ca="1" si="3"/>
        <v>OK</v>
      </c>
      <c r="Q34" s="14" t="str">
        <f>IF(COUNTIF(Catalogo_Planes_PIMS!$B$5:$B$7,H34)=1,"SI","NO")</f>
        <v>SI</v>
      </c>
      <c r="R34" s="14" t="str">
        <f t="shared" si="4"/>
        <v>OK</v>
      </c>
      <c r="S34" s="15" t="str">
        <f ca="1">IF(P34&lt;&gt;"OK","Revisar campos obligatorios, fechas y prima",IF(R34="DUPLICADO","ID_Solicitud duplicado",IF(Q34="NO","Plan no existe en catálogo",IF(AND(G34&lt;&gt;"",OR(G34&lt;IFERROR(INDEX(Catalogo_Planes_PIMS!$D$5:$D$7,MATCH(H34,Catalogo_Planes_PIMS!$B$5:$B$7,0)),18),G34&gt;IFERROR(INDEX(Catalogo_Planes_PIMS!$E$5:$E$7,MATCH(H34,Catalogo_Planes_PIMS!$B$5:$B$7,0)),65))),"Edad fuera de rango",IF(N34="NO","RUT inválido",IF(OR(J34="",I34&lt;&gt;J34),"Descalce de prima","Sin errores adicionales"))))))</f>
        <v>Edad fuera de rango</v>
      </c>
    </row>
    <row r="35" spans="1:19" x14ac:dyDescent="0.25">
      <c r="A35" s="7" t="s">
        <v>117</v>
      </c>
      <c r="B35" s="8">
        <v>46301</v>
      </c>
      <c r="C35" s="7" t="s">
        <v>34</v>
      </c>
      <c r="D35" s="9" t="s">
        <v>118</v>
      </c>
      <c r="E35" s="9" t="s">
        <v>119</v>
      </c>
      <c r="F35" s="8">
        <v>31137</v>
      </c>
      <c r="G35" s="10">
        <f t="shared" ca="1" si="0"/>
        <v>41</v>
      </c>
      <c r="H35" s="7" t="s">
        <v>37</v>
      </c>
      <c r="I35" s="11">
        <v>7990</v>
      </c>
      <c r="J35" s="11">
        <f>IFERROR(INDEX(Catalogo_Planes_PIMS!$C$5:$C$7,MATCH(H35,Catalogo_Planes_PIMS!$B$5:$B$7,0)),"")</f>
        <v>7990</v>
      </c>
      <c r="K35" s="7" t="str">
        <f ca="1">IF(P35&lt;&gt;"OK","RECHAZADO_DATOS_INCOMPLETOS",IF(R35="DUPLICADO","RECHAZADO_ID_DUPLICADO",IF(Q35="NO","RECHAZADO_PLAN_NO_CATALOGADO",IF(OR(G35="",G35&lt;IFERROR(INDEX(Catalogo_Planes_PIMS!$D$5:$D$7,MATCH(H35,Catalogo_Planes_PIMS!$B$5:$B$7,0)),18),G35&gt;IFERROR(INDEX(Catalogo_Planes_PIMS!$E$5:$E$7,MATCH(H35,Catalogo_Planes_PIMS!$B$5:$B$7,0)),65)),"RECHAZADO_ELEGIBILIDAD",IF(N35="NO","RECHAZADO_RUT_INVALIDO",IF(OR(J35="",I35&lt;&gt;J35),"RECHAZADO_DESCALCE_PRIMA","APROBADO_CARGA_PIMS"))))))</f>
        <v>APROBADO_CARGA_PIMS</v>
      </c>
      <c r="L35" s="7" t="str">
        <f t="shared" ca="1" si="1"/>
        <v>Sin observaciones</v>
      </c>
      <c r="M35" s="12" t="str">
        <f t="shared" si="2"/>
        <v>127437491</v>
      </c>
      <c r="N35" s="13" t="str">
        <f>IF(OR(D35="",ISERROR(FIND("-",TRIM(D35))),MID(TRIM(D35),LEN(TRIM(D35))-1,1)&lt;&gt;"-",LEN(M35)&lt;8,LEN(M35)&gt;9,NOT(ISNUMBER(--LEFT(M35,LEN(M35)-1))),NOT(OR(RIGHT(M35,1)="K",IFERROR(ISNUMBER(--RIGHT(M35,1)),FALSE())))),"NO",IF(RIGHT(M35,1)=MID("0K987654321",MOD(SUMPRODUCT(--MID(RIGHT("00000000"&amp;LEFT(M35,LEN(M35)-1),8),{1,2,3,4,5,6,7,8},1),{3,2,7,6,5,4,3,2}),11)+1,1),"SI","NO"))</f>
        <v>SI</v>
      </c>
      <c r="O35" s="13" t="str">
        <f ca="1">IF(LEFT(K35,9)="RECHAZADO",COUNTIF($K$5:K35,"RECHAZADO*"),"")</f>
        <v/>
      </c>
      <c r="P35" s="14" t="str">
        <f t="shared" ca="1" si="3"/>
        <v>OK</v>
      </c>
      <c r="Q35" s="14" t="str">
        <f>IF(COUNTIF(Catalogo_Planes_PIMS!$B$5:$B$7,H35)=1,"SI","NO")</f>
        <v>SI</v>
      </c>
      <c r="R35" s="14" t="str">
        <f t="shared" si="4"/>
        <v>OK</v>
      </c>
      <c r="S35" s="15" t="str">
        <f ca="1">IF(P35&lt;&gt;"OK","Revisar campos obligatorios, fechas y prima",IF(R35="DUPLICADO","ID_Solicitud duplicado",IF(Q35="NO","Plan no existe en catálogo",IF(AND(G35&lt;&gt;"",OR(G35&lt;IFERROR(INDEX(Catalogo_Planes_PIMS!$D$5:$D$7,MATCH(H35,Catalogo_Planes_PIMS!$B$5:$B$7,0)),18),G35&gt;IFERROR(INDEX(Catalogo_Planes_PIMS!$E$5:$E$7,MATCH(H35,Catalogo_Planes_PIMS!$B$5:$B$7,0)),65))),"Edad fuera de rango",IF(N35="NO","RUT inválido",IF(OR(J35="",I35&lt;&gt;J35),"Descalce de prima","Sin errores adicionales"))))))</f>
        <v>Sin errores adicionales</v>
      </c>
    </row>
    <row r="36" spans="1:19" x14ac:dyDescent="0.25">
      <c r="A36" s="7" t="s">
        <v>120</v>
      </c>
      <c r="B36" s="8">
        <v>46301</v>
      </c>
      <c r="C36" s="7" t="s">
        <v>34</v>
      </c>
      <c r="D36" s="9" t="s">
        <v>121</v>
      </c>
      <c r="E36" s="9" t="s">
        <v>122</v>
      </c>
      <c r="F36" s="8">
        <v>26408</v>
      </c>
      <c r="G36" s="10">
        <f t="shared" ca="1" si="0"/>
        <v>54</v>
      </c>
      <c r="H36" s="7" t="s">
        <v>37</v>
      </c>
      <c r="I36" s="11">
        <v>7990</v>
      </c>
      <c r="J36" s="11">
        <f>IFERROR(INDEX(Catalogo_Planes_PIMS!$C$5:$C$7,MATCH(H36,Catalogo_Planes_PIMS!$B$5:$B$7,0)),"")</f>
        <v>7990</v>
      </c>
      <c r="K36" s="7" t="str">
        <f ca="1">IF(P36&lt;&gt;"OK","RECHAZADO_DATOS_INCOMPLETOS",IF(R36="DUPLICADO","RECHAZADO_ID_DUPLICADO",IF(Q36="NO","RECHAZADO_PLAN_NO_CATALOGADO",IF(OR(G36="",G36&lt;IFERROR(INDEX(Catalogo_Planes_PIMS!$D$5:$D$7,MATCH(H36,Catalogo_Planes_PIMS!$B$5:$B$7,0)),18),G36&gt;IFERROR(INDEX(Catalogo_Planes_PIMS!$E$5:$E$7,MATCH(H36,Catalogo_Planes_PIMS!$B$5:$B$7,0)),65)),"RECHAZADO_ELEGIBILIDAD",IF(N36="NO","RECHAZADO_RUT_INVALIDO",IF(OR(J36="",I36&lt;&gt;J36),"RECHAZADO_DESCALCE_PRIMA","APROBADO_CARGA_PIMS"))))))</f>
        <v>APROBADO_CARGA_PIMS</v>
      </c>
      <c r="L36" s="7" t="str">
        <f t="shared" ca="1" si="1"/>
        <v>Sin observaciones</v>
      </c>
      <c r="M36" s="12" t="str">
        <f t="shared" si="2"/>
        <v>123049543</v>
      </c>
      <c r="N36" s="13" t="str">
        <f>IF(OR(D36="",ISERROR(FIND("-",TRIM(D36))),MID(TRIM(D36),LEN(TRIM(D36))-1,1)&lt;&gt;"-",LEN(M36)&lt;8,LEN(M36)&gt;9,NOT(ISNUMBER(--LEFT(M36,LEN(M36)-1))),NOT(OR(RIGHT(M36,1)="K",IFERROR(ISNUMBER(--RIGHT(M36,1)),FALSE())))),"NO",IF(RIGHT(M36,1)=MID("0K987654321",MOD(SUMPRODUCT(--MID(RIGHT("00000000"&amp;LEFT(M36,LEN(M36)-1),8),{1,2,3,4,5,6,7,8},1),{3,2,7,6,5,4,3,2}),11)+1,1),"SI","NO"))</f>
        <v>SI</v>
      </c>
      <c r="O36" s="13" t="str">
        <f ca="1">IF(LEFT(K36,9)="RECHAZADO",COUNTIF($K$5:K36,"RECHAZADO*"),"")</f>
        <v/>
      </c>
      <c r="P36" s="14" t="str">
        <f t="shared" ca="1" si="3"/>
        <v>OK</v>
      </c>
      <c r="Q36" s="14" t="str">
        <f>IF(COUNTIF(Catalogo_Planes_PIMS!$B$5:$B$7,H36)=1,"SI","NO")</f>
        <v>SI</v>
      </c>
      <c r="R36" s="14" t="str">
        <f t="shared" si="4"/>
        <v>OK</v>
      </c>
      <c r="S36" s="15" t="str">
        <f ca="1">IF(P36&lt;&gt;"OK","Revisar campos obligatorios, fechas y prima",IF(R36="DUPLICADO","ID_Solicitud duplicado",IF(Q36="NO","Plan no existe en catálogo",IF(AND(G36&lt;&gt;"",OR(G36&lt;IFERROR(INDEX(Catalogo_Planes_PIMS!$D$5:$D$7,MATCH(H36,Catalogo_Planes_PIMS!$B$5:$B$7,0)),18),G36&gt;IFERROR(INDEX(Catalogo_Planes_PIMS!$E$5:$E$7,MATCH(H36,Catalogo_Planes_PIMS!$B$5:$B$7,0)),65))),"Edad fuera de rango",IF(N36="NO","RUT inválido",IF(OR(J36="",I36&lt;&gt;J36),"Descalce de prima","Sin errores adicionales"))))))</f>
        <v>Sin errores adicionales</v>
      </c>
    </row>
    <row r="37" spans="1:19" x14ac:dyDescent="0.25">
      <c r="A37" s="7" t="s">
        <v>123</v>
      </c>
      <c r="B37" s="8">
        <v>46301</v>
      </c>
      <c r="C37" s="7" t="s">
        <v>22</v>
      </c>
      <c r="D37" s="9" t="s">
        <v>124</v>
      </c>
      <c r="E37" s="9" t="s">
        <v>125</v>
      </c>
      <c r="F37" s="8">
        <v>29220</v>
      </c>
      <c r="G37" s="10">
        <f t="shared" ref="G37:G68" ca="1" si="5">IF(OR(F37="",NOT(ISNUMBER(F37)),F37&gt;TODAY()),"",DATEDIF(F37,TODAY(),"Y"))</f>
        <v>46</v>
      </c>
      <c r="H37" s="7" t="s">
        <v>44</v>
      </c>
      <c r="I37" s="11">
        <v>12990</v>
      </c>
      <c r="J37" s="11">
        <f>IFERROR(INDEX(Catalogo_Planes_PIMS!$C$5:$C$7,MATCH(H37,Catalogo_Planes_PIMS!$B$5:$B$7,0)),"")</f>
        <v>12990</v>
      </c>
      <c r="K37" s="7" t="str">
        <f ca="1">IF(P37&lt;&gt;"OK","RECHAZADO_DATOS_INCOMPLETOS",IF(R37="DUPLICADO","RECHAZADO_ID_DUPLICADO",IF(Q37="NO","RECHAZADO_PLAN_NO_CATALOGADO",IF(OR(G37="",G37&lt;IFERROR(INDEX(Catalogo_Planes_PIMS!$D$5:$D$7,MATCH(H37,Catalogo_Planes_PIMS!$B$5:$B$7,0)),18),G37&gt;IFERROR(INDEX(Catalogo_Planes_PIMS!$E$5:$E$7,MATCH(H37,Catalogo_Planes_PIMS!$B$5:$B$7,0)),65)),"RECHAZADO_ELEGIBILIDAD",IF(N37="NO","RECHAZADO_RUT_INVALIDO",IF(OR(J37="",I37&lt;&gt;J37),"RECHAZADO_DESCALCE_PRIMA","APROBADO_CARGA_PIMS"))))))</f>
        <v>APROBADO_CARGA_PIMS</v>
      </c>
      <c r="L37" s="7" t="str">
        <f t="shared" ref="L37:L68" ca="1" si="6">IF(K37="APROBADO_CARGA_PIMS","Sin observaciones",IF(K37="RECHAZADO_DATOS_INCOMPLETOS","Campos obligatorios incompletos o dato inválido",IF(K37="RECHAZADO_ID_DUPLICADO","Identificador de solicitud duplicado",IF(K37="RECHAZADO_PLAN_NO_CATALOGADO","Plan solicitado no existe en catálogo PIMS",IF(K37="RECHAZADO_ELEGIBILIDAD","Edad fuera del rango definido en catálogo",IF(K37="RECHAZADO_RUT_INVALIDO","RUT con formato o dígito verificador inválido","Prima informada no coincide con tarifa oficial PIMS"))))))</f>
        <v>Sin observaciones</v>
      </c>
      <c r="M37" s="12" t="str">
        <f t="shared" ref="M37:M68" si="7">SUBSTITUTE(SUBSTITUTE(SUBSTITUTE(UPPER(TRIM(D37)),".",""),"-","")," ","")</f>
        <v>197011769</v>
      </c>
      <c r="N37" s="13" t="str">
        <f>IF(OR(D37="",ISERROR(FIND("-",TRIM(D37))),MID(TRIM(D37),LEN(TRIM(D37))-1,1)&lt;&gt;"-",LEN(M37)&lt;8,LEN(M37)&gt;9,NOT(ISNUMBER(--LEFT(M37,LEN(M37)-1))),NOT(OR(RIGHT(M37,1)="K",IFERROR(ISNUMBER(--RIGHT(M37,1)),FALSE())))),"NO",IF(RIGHT(M37,1)=MID("0K987654321",MOD(SUMPRODUCT(--MID(RIGHT("00000000"&amp;LEFT(M37,LEN(M37)-1),8),{1,2,3,4,5,6,7,8},1),{3,2,7,6,5,4,3,2}),11)+1,1),"SI","NO"))</f>
        <v>SI</v>
      </c>
      <c r="O37" s="13" t="str">
        <f ca="1">IF(LEFT(K37,9)="RECHAZADO",COUNTIF($K$5:K37,"RECHAZADO*"),"")</f>
        <v/>
      </c>
      <c r="P37" s="14" t="str">
        <f t="shared" ref="P37:P68" ca="1" si="8">IF(OR(A37="",B37="",C37="",D37="",E37="",F37="",H37="",I37=""),"INCOMPLETO",IF(OR(NOT(ISNUMBER(B37)),NOT(ISNUMBER(F37)),F37&gt;TODAY(),NOT(ISNUMBER(I37)),I37&lt;0),"DATO_INVALIDO","OK"))</f>
        <v>OK</v>
      </c>
      <c r="Q37" s="14" t="str">
        <f>IF(COUNTIF(Catalogo_Planes_PIMS!$B$5:$B$7,H37)=1,"SI","NO")</f>
        <v>SI</v>
      </c>
      <c r="R37" s="14" t="str">
        <f t="shared" ref="R37:R68" si="9">IF(A37="","",IF(COUNTIF($A$5:$A$104,A37)&gt;1,"DUPLICADO","OK"))</f>
        <v>OK</v>
      </c>
      <c r="S37" s="15" t="str">
        <f ca="1">IF(P37&lt;&gt;"OK","Revisar campos obligatorios, fechas y prima",IF(R37="DUPLICADO","ID_Solicitud duplicado",IF(Q37="NO","Plan no existe en catálogo",IF(AND(G37&lt;&gt;"",OR(G37&lt;IFERROR(INDEX(Catalogo_Planes_PIMS!$D$5:$D$7,MATCH(H37,Catalogo_Planes_PIMS!$B$5:$B$7,0)),18),G37&gt;IFERROR(INDEX(Catalogo_Planes_PIMS!$E$5:$E$7,MATCH(H37,Catalogo_Planes_PIMS!$B$5:$B$7,0)),65))),"Edad fuera de rango",IF(N37="NO","RUT inválido",IF(OR(J37="",I37&lt;&gt;J37),"Descalce de prima","Sin errores adicionales"))))))</f>
        <v>Sin errores adicionales</v>
      </c>
    </row>
    <row r="38" spans="1:19" x14ac:dyDescent="0.25">
      <c r="A38" s="7" t="s">
        <v>126</v>
      </c>
      <c r="B38" s="8">
        <v>46301</v>
      </c>
      <c r="C38" s="7" t="s">
        <v>27</v>
      </c>
      <c r="D38" s="9" t="s">
        <v>127</v>
      </c>
      <c r="E38" s="9" t="s">
        <v>128</v>
      </c>
      <c r="F38" s="8">
        <v>26067</v>
      </c>
      <c r="G38" s="10">
        <f t="shared" ca="1" si="5"/>
        <v>55</v>
      </c>
      <c r="H38" s="7" t="s">
        <v>25</v>
      </c>
      <c r="I38" s="11">
        <v>18990</v>
      </c>
      <c r="J38" s="11">
        <f>IFERROR(INDEX(Catalogo_Planes_PIMS!$C$5:$C$7,MATCH(H38,Catalogo_Planes_PIMS!$B$5:$B$7,0)),"")</f>
        <v>18990</v>
      </c>
      <c r="K38" s="7" t="str">
        <f ca="1">IF(P38&lt;&gt;"OK","RECHAZADO_DATOS_INCOMPLETOS",IF(R38="DUPLICADO","RECHAZADO_ID_DUPLICADO",IF(Q38="NO","RECHAZADO_PLAN_NO_CATALOGADO",IF(OR(G38="",G38&lt;IFERROR(INDEX(Catalogo_Planes_PIMS!$D$5:$D$7,MATCH(H38,Catalogo_Planes_PIMS!$B$5:$B$7,0)),18),G38&gt;IFERROR(INDEX(Catalogo_Planes_PIMS!$E$5:$E$7,MATCH(H38,Catalogo_Planes_PIMS!$B$5:$B$7,0)),65)),"RECHAZADO_ELEGIBILIDAD",IF(N38="NO","RECHAZADO_RUT_INVALIDO",IF(OR(J38="",I38&lt;&gt;J38),"RECHAZADO_DESCALCE_PRIMA","APROBADO_CARGA_PIMS"))))))</f>
        <v>APROBADO_CARGA_PIMS</v>
      </c>
      <c r="L38" s="7" t="str">
        <f t="shared" ca="1" si="6"/>
        <v>Sin observaciones</v>
      </c>
      <c r="M38" s="12" t="str">
        <f t="shared" si="7"/>
        <v>106291896</v>
      </c>
      <c r="N38" s="13" t="str">
        <f>IF(OR(D38="",ISERROR(FIND("-",TRIM(D38))),MID(TRIM(D38),LEN(TRIM(D38))-1,1)&lt;&gt;"-",LEN(M38)&lt;8,LEN(M38)&gt;9,NOT(ISNUMBER(--LEFT(M38,LEN(M38)-1))),NOT(OR(RIGHT(M38,1)="K",IFERROR(ISNUMBER(--RIGHT(M38,1)),FALSE())))),"NO",IF(RIGHT(M38,1)=MID("0K987654321",MOD(SUMPRODUCT(--MID(RIGHT("00000000"&amp;LEFT(M38,LEN(M38)-1),8),{1,2,3,4,5,6,7,8},1),{3,2,7,6,5,4,3,2}),11)+1,1),"SI","NO"))</f>
        <v>SI</v>
      </c>
      <c r="O38" s="13" t="str">
        <f ca="1">IF(LEFT(K38,9)="RECHAZADO",COUNTIF($K$5:K38,"RECHAZADO*"),"")</f>
        <v/>
      </c>
      <c r="P38" s="14" t="str">
        <f t="shared" ca="1" si="8"/>
        <v>OK</v>
      </c>
      <c r="Q38" s="14" t="str">
        <f>IF(COUNTIF(Catalogo_Planes_PIMS!$B$5:$B$7,H38)=1,"SI","NO")</f>
        <v>SI</v>
      </c>
      <c r="R38" s="14" t="str">
        <f t="shared" si="9"/>
        <v>OK</v>
      </c>
      <c r="S38" s="15" t="str">
        <f ca="1">IF(P38&lt;&gt;"OK","Revisar campos obligatorios, fechas y prima",IF(R38="DUPLICADO","ID_Solicitud duplicado",IF(Q38="NO","Plan no existe en catálogo",IF(AND(G38&lt;&gt;"",OR(G38&lt;IFERROR(INDEX(Catalogo_Planes_PIMS!$D$5:$D$7,MATCH(H38,Catalogo_Planes_PIMS!$B$5:$B$7,0)),18),G38&gt;IFERROR(INDEX(Catalogo_Planes_PIMS!$E$5:$E$7,MATCH(H38,Catalogo_Planes_PIMS!$B$5:$B$7,0)),65))),"Edad fuera de rango",IF(N38="NO","RUT inválido",IF(OR(J38="",I38&lt;&gt;J38),"Descalce de prima","Sin errores adicionales"))))))</f>
        <v>Sin errores adicionales</v>
      </c>
    </row>
    <row r="39" spans="1:19" x14ac:dyDescent="0.25">
      <c r="A39" s="7" t="s">
        <v>129</v>
      </c>
      <c r="B39" s="8">
        <v>46301</v>
      </c>
      <c r="C39" s="7" t="s">
        <v>34</v>
      </c>
      <c r="D39" s="9" t="s">
        <v>130</v>
      </c>
      <c r="E39" s="9" t="s">
        <v>131</v>
      </c>
      <c r="F39" s="8">
        <v>30560</v>
      </c>
      <c r="G39" s="10">
        <f t="shared" ca="1" si="5"/>
        <v>43</v>
      </c>
      <c r="H39" s="7" t="s">
        <v>44</v>
      </c>
      <c r="I39" s="11">
        <v>12990</v>
      </c>
      <c r="J39" s="11">
        <f>IFERROR(INDEX(Catalogo_Planes_PIMS!$C$5:$C$7,MATCH(H39,Catalogo_Planes_PIMS!$B$5:$B$7,0)),"")</f>
        <v>12990</v>
      </c>
      <c r="K39" s="7" t="str">
        <f ca="1">IF(P39&lt;&gt;"OK","RECHAZADO_DATOS_INCOMPLETOS",IF(R39="DUPLICADO","RECHAZADO_ID_DUPLICADO",IF(Q39="NO","RECHAZADO_PLAN_NO_CATALOGADO",IF(OR(G39="",G39&lt;IFERROR(INDEX(Catalogo_Planes_PIMS!$D$5:$D$7,MATCH(H39,Catalogo_Planes_PIMS!$B$5:$B$7,0)),18),G39&gt;IFERROR(INDEX(Catalogo_Planes_PIMS!$E$5:$E$7,MATCH(H39,Catalogo_Planes_PIMS!$B$5:$B$7,0)),65)),"RECHAZADO_ELEGIBILIDAD",IF(N39="NO","RECHAZADO_RUT_INVALIDO",IF(OR(J39="",I39&lt;&gt;J39),"RECHAZADO_DESCALCE_PRIMA","APROBADO_CARGA_PIMS"))))))</f>
        <v>APROBADO_CARGA_PIMS</v>
      </c>
      <c r="L39" s="7" t="str">
        <f t="shared" ca="1" si="6"/>
        <v>Sin observaciones</v>
      </c>
      <c r="M39" s="12" t="str">
        <f t="shared" si="7"/>
        <v>191961536</v>
      </c>
      <c r="N39" s="13" t="str">
        <f>IF(OR(D39="",ISERROR(FIND("-",TRIM(D39))),MID(TRIM(D39),LEN(TRIM(D39))-1,1)&lt;&gt;"-",LEN(M39)&lt;8,LEN(M39)&gt;9,NOT(ISNUMBER(--LEFT(M39,LEN(M39)-1))),NOT(OR(RIGHT(M39,1)="K",IFERROR(ISNUMBER(--RIGHT(M39,1)),FALSE())))),"NO",IF(RIGHT(M39,1)=MID("0K987654321",MOD(SUMPRODUCT(--MID(RIGHT("00000000"&amp;LEFT(M39,LEN(M39)-1),8),{1,2,3,4,5,6,7,8},1),{3,2,7,6,5,4,3,2}),11)+1,1),"SI","NO"))</f>
        <v>SI</v>
      </c>
      <c r="O39" s="13" t="str">
        <f ca="1">IF(LEFT(K39,9)="RECHAZADO",COUNTIF($K$5:K39,"RECHAZADO*"),"")</f>
        <v/>
      </c>
      <c r="P39" s="14" t="str">
        <f t="shared" ca="1" si="8"/>
        <v>OK</v>
      </c>
      <c r="Q39" s="14" t="str">
        <f>IF(COUNTIF(Catalogo_Planes_PIMS!$B$5:$B$7,H39)=1,"SI","NO")</f>
        <v>SI</v>
      </c>
      <c r="R39" s="14" t="str">
        <f t="shared" si="9"/>
        <v>OK</v>
      </c>
      <c r="S39" s="15" t="str">
        <f ca="1">IF(P39&lt;&gt;"OK","Revisar campos obligatorios, fechas y prima",IF(R39="DUPLICADO","ID_Solicitud duplicado",IF(Q39="NO","Plan no existe en catálogo",IF(AND(G39&lt;&gt;"",OR(G39&lt;IFERROR(INDEX(Catalogo_Planes_PIMS!$D$5:$D$7,MATCH(H39,Catalogo_Planes_PIMS!$B$5:$B$7,0)),18),G39&gt;IFERROR(INDEX(Catalogo_Planes_PIMS!$E$5:$E$7,MATCH(H39,Catalogo_Planes_PIMS!$B$5:$B$7,0)),65))),"Edad fuera de rango",IF(N39="NO","RUT inválido",IF(OR(J39="",I39&lt;&gt;J39),"Descalce de prima","Sin errores adicionales"))))))</f>
        <v>Sin errores adicionales</v>
      </c>
    </row>
    <row r="40" spans="1:19" x14ac:dyDescent="0.25">
      <c r="A40" s="7" t="s">
        <v>132</v>
      </c>
      <c r="B40" s="8">
        <v>46301</v>
      </c>
      <c r="C40" s="7" t="s">
        <v>34</v>
      </c>
      <c r="D40" s="9" t="s">
        <v>133</v>
      </c>
      <c r="E40" s="9" t="s">
        <v>134</v>
      </c>
      <c r="F40" s="8">
        <v>40384</v>
      </c>
      <c r="G40" s="10">
        <f t="shared" ca="1" si="5"/>
        <v>16</v>
      </c>
      <c r="H40" s="7" t="s">
        <v>44</v>
      </c>
      <c r="I40" s="11">
        <v>12990</v>
      </c>
      <c r="J40" s="11">
        <f>IFERROR(INDEX(Catalogo_Planes_PIMS!$C$5:$C$7,MATCH(H40,Catalogo_Planes_PIMS!$B$5:$B$7,0)),"")</f>
        <v>12990</v>
      </c>
      <c r="K40" s="7" t="str">
        <f ca="1">IF(P40&lt;&gt;"OK","RECHAZADO_DATOS_INCOMPLETOS",IF(R40="DUPLICADO","RECHAZADO_ID_DUPLICADO",IF(Q40="NO","RECHAZADO_PLAN_NO_CATALOGADO",IF(OR(G40="",G40&lt;IFERROR(INDEX(Catalogo_Planes_PIMS!$D$5:$D$7,MATCH(H40,Catalogo_Planes_PIMS!$B$5:$B$7,0)),18),G40&gt;IFERROR(INDEX(Catalogo_Planes_PIMS!$E$5:$E$7,MATCH(H40,Catalogo_Planes_PIMS!$B$5:$B$7,0)),65)),"RECHAZADO_ELEGIBILIDAD",IF(N40="NO","RECHAZADO_RUT_INVALIDO",IF(OR(J40="",I40&lt;&gt;J40),"RECHAZADO_DESCALCE_PRIMA","APROBADO_CARGA_PIMS"))))))</f>
        <v>RECHAZADO_ELEGIBILIDAD</v>
      </c>
      <c r="L40" s="7" t="str">
        <f t="shared" ca="1" si="6"/>
        <v>Edad fuera del rango definido en catálogo</v>
      </c>
      <c r="M40" s="12" t="str">
        <f t="shared" si="7"/>
        <v>88701364</v>
      </c>
      <c r="N40" s="13" t="str">
        <f>IF(OR(D40="",ISERROR(FIND("-",TRIM(D40))),MID(TRIM(D40),LEN(TRIM(D40))-1,1)&lt;&gt;"-",LEN(M40)&lt;8,LEN(M40)&gt;9,NOT(ISNUMBER(--LEFT(M40,LEN(M40)-1))),NOT(OR(RIGHT(M40,1)="K",IFERROR(ISNUMBER(--RIGHT(M40,1)),FALSE())))),"NO",IF(RIGHT(M40,1)=MID("0K987654321",MOD(SUMPRODUCT(--MID(RIGHT("00000000"&amp;LEFT(M40,LEN(M40)-1),8),{1,2,3,4,5,6,7,8},1),{3,2,7,6,5,4,3,2}),11)+1,1),"SI","NO"))</f>
        <v>SI</v>
      </c>
      <c r="O40" s="13">
        <f ca="1">IF(LEFT(K40,9)="RECHAZADO",COUNTIF($K$5:K40,"RECHAZADO*"),"")</f>
        <v>15</v>
      </c>
      <c r="P40" s="14" t="str">
        <f t="shared" ca="1" si="8"/>
        <v>OK</v>
      </c>
      <c r="Q40" s="14" t="str">
        <f>IF(COUNTIF(Catalogo_Planes_PIMS!$B$5:$B$7,H40)=1,"SI","NO")</f>
        <v>SI</v>
      </c>
      <c r="R40" s="14" t="str">
        <f t="shared" si="9"/>
        <v>OK</v>
      </c>
      <c r="S40" s="15" t="str">
        <f ca="1">IF(P40&lt;&gt;"OK","Revisar campos obligatorios, fechas y prima",IF(R40="DUPLICADO","ID_Solicitud duplicado",IF(Q40="NO","Plan no existe en catálogo",IF(AND(G40&lt;&gt;"",OR(G40&lt;IFERROR(INDEX(Catalogo_Planes_PIMS!$D$5:$D$7,MATCH(H40,Catalogo_Planes_PIMS!$B$5:$B$7,0)),18),G40&gt;IFERROR(INDEX(Catalogo_Planes_PIMS!$E$5:$E$7,MATCH(H40,Catalogo_Planes_PIMS!$B$5:$B$7,0)),65))),"Edad fuera de rango",IF(N40="NO","RUT inválido",IF(OR(J40="",I40&lt;&gt;J40),"Descalce de prima","Sin errores adicionales"))))))</f>
        <v>Edad fuera de rango</v>
      </c>
    </row>
    <row r="41" spans="1:19" x14ac:dyDescent="0.25">
      <c r="A41" s="7" t="s">
        <v>135</v>
      </c>
      <c r="B41" s="8">
        <v>46301</v>
      </c>
      <c r="C41" s="7" t="s">
        <v>34</v>
      </c>
      <c r="D41" s="9" t="s">
        <v>136</v>
      </c>
      <c r="E41" s="9" t="s">
        <v>137</v>
      </c>
      <c r="F41" s="8">
        <v>41146</v>
      </c>
      <c r="G41" s="10">
        <f t="shared" ca="1" si="5"/>
        <v>14</v>
      </c>
      <c r="H41" s="7" t="s">
        <v>25</v>
      </c>
      <c r="I41" s="11">
        <v>18990</v>
      </c>
      <c r="J41" s="11">
        <f>IFERROR(INDEX(Catalogo_Planes_PIMS!$C$5:$C$7,MATCH(H41,Catalogo_Planes_PIMS!$B$5:$B$7,0)),"")</f>
        <v>18990</v>
      </c>
      <c r="K41" s="7" t="str">
        <f ca="1">IF(P41&lt;&gt;"OK","RECHAZADO_DATOS_INCOMPLETOS",IF(R41="DUPLICADO","RECHAZADO_ID_DUPLICADO",IF(Q41="NO","RECHAZADO_PLAN_NO_CATALOGADO",IF(OR(G41="",G41&lt;IFERROR(INDEX(Catalogo_Planes_PIMS!$D$5:$D$7,MATCH(H41,Catalogo_Planes_PIMS!$B$5:$B$7,0)),18),G41&gt;IFERROR(INDEX(Catalogo_Planes_PIMS!$E$5:$E$7,MATCH(H41,Catalogo_Planes_PIMS!$B$5:$B$7,0)),65)),"RECHAZADO_ELEGIBILIDAD",IF(N41="NO","RECHAZADO_RUT_INVALIDO",IF(OR(J41="",I41&lt;&gt;J41),"RECHAZADO_DESCALCE_PRIMA","APROBADO_CARGA_PIMS"))))))</f>
        <v>RECHAZADO_ELEGIBILIDAD</v>
      </c>
      <c r="L41" s="7" t="str">
        <f t="shared" ca="1" si="6"/>
        <v>Edad fuera del rango definido en catálogo</v>
      </c>
      <c r="M41" s="12" t="str">
        <f t="shared" si="7"/>
        <v>123678516</v>
      </c>
      <c r="N41" s="13" t="str">
        <f>IF(OR(D41="",ISERROR(FIND("-",TRIM(D41))),MID(TRIM(D41),LEN(TRIM(D41))-1,1)&lt;&gt;"-",LEN(M41)&lt;8,LEN(M41)&gt;9,NOT(ISNUMBER(--LEFT(M41,LEN(M41)-1))),NOT(OR(RIGHT(M41,1)="K",IFERROR(ISNUMBER(--RIGHT(M41,1)),FALSE())))),"NO",IF(RIGHT(M41,1)=MID("0K987654321",MOD(SUMPRODUCT(--MID(RIGHT("00000000"&amp;LEFT(M41,LEN(M41)-1),8),{1,2,3,4,5,6,7,8},1),{3,2,7,6,5,4,3,2}),11)+1,1),"SI","NO"))</f>
        <v>SI</v>
      </c>
      <c r="O41" s="13">
        <f ca="1">IF(LEFT(K41,9)="RECHAZADO",COUNTIF($K$5:K41,"RECHAZADO*"),"")</f>
        <v>16</v>
      </c>
      <c r="P41" s="14" t="str">
        <f t="shared" ca="1" si="8"/>
        <v>OK</v>
      </c>
      <c r="Q41" s="14" t="str">
        <f>IF(COUNTIF(Catalogo_Planes_PIMS!$B$5:$B$7,H41)=1,"SI","NO")</f>
        <v>SI</v>
      </c>
      <c r="R41" s="14" t="str">
        <f t="shared" si="9"/>
        <v>OK</v>
      </c>
      <c r="S41" s="15" t="str">
        <f ca="1">IF(P41&lt;&gt;"OK","Revisar campos obligatorios, fechas y prima",IF(R41="DUPLICADO","ID_Solicitud duplicado",IF(Q41="NO","Plan no existe en catálogo",IF(AND(G41&lt;&gt;"",OR(G41&lt;IFERROR(INDEX(Catalogo_Planes_PIMS!$D$5:$D$7,MATCH(H41,Catalogo_Planes_PIMS!$B$5:$B$7,0)),18),G41&gt;IFERROR(INDEX(Catalogo_Planes_PIMS!$E$5:$E$7,MATCH(H41,Catalogo_Planes_PIMS!$B$5:$B$7,0)),65))),"Edad fuera de rango",IF(N41="NO","RUT inválido",IF(OR(J41="",I41&lt;&gt;J41),"Descalce de prima","Sin errores adicionales"))))))</f>
        <v>Edad fuera de rango</v>
      </c>
    </row>
    <row r="42" spans="1:19" x14ac:dyDescent="0.25">
      <c r="A42" s="7" t="s">
        <v>138</v>
      </c>
      <c r="B42" s="8">
        <v>46302</v>
      </c>
      <c r="C42" s="7" t="s">
        <v>34</v>
      </c>
      <c r="D42" s="9" t="s">
        <v>139</v>
      </c>
      <c r="E42" s="9" t="s">
        <v>140</v>
      </c>
      <c r="F42" s="8">
        <v>26134</v>
      </c>
      <c r="G42" s="10">
        <f t="shared" ca="1" si="5"/>
        <v>55</v>
      </c>
      <c r="H42" s="7" t="s">
        <v>25</v>
      </c>
      <c r="I42" s="11">
        <v>18990</v>
      </c>
      <c r="J42" s="11">
        <f>IFERROR(INDEX(Catalogo_Planes_PIMS!$C$5:$C$7,MATCH(H42,Catalogo_Planes_PIMS!$B$5:$B$7,0)),"")</f>
        <v>18990</v>
      </c>
      <c r="K42" s="7" t="str">
        <f ca="1">IF(P42&lt;&gt;"OK","RECHAZADO_DATOS_INCOMPLETOS",IF(R42="DUPLICADO","RECHAZADO_ID_DUPLICADO",IF(Q42="NO","RECHAZADO_PLAN_NO_CATALOGADO",IF(OR(G42="",G42&lt;IFERROR(INDEX(Catalogo_Planes_PIMS!$D$5:$D$7,MATCH(H42,Catalogo_Planes_PIMS!$B$5:$B$7,0)),18),G42&gt;IFERROR(INDEX(Catalogo_Planes_PIMS!$E$5:$E$7,MATCH(H42,Catalogo_Planes_PIMS!$B$5:$B$7,0)),65)),"RECHAZADO_ELEGIBILIDAD",IF(N42="NO","RECHAZADO_RUT_INVALIDO",IF(OR(J42="",I42&lt;&gt;J42),"RECHAZADO_DESCALCE_PRIMA","APROBADO_CARGA_PIMS"))))))</f>
        <v>APROBADO_CARGA_PIMS</v>
      </c>
      <c r="L42" s="7" t="str">
        <f t="shared" ca="1" si="6"/>
        <v>Sin observaciones</v>
      </c>
      <c r="M42" s="12" t="str">
        <f t="shared" si="7"/>
        <v>190396517</v>
      </c>
      <c r="N42" s="13" t="str">
        <f>IF(OR(D42="",ISERROR(FIND("-",TRIM(D42))),MID(TRIM(D42),LEN(TRIM(D42))-1,1)&lt;&gt;"-",LEN(M42)&lt;8,LEN(M42)&gt;9,NOT(ISNUMBER(--LEFT(M42,LEN(M42)-1))),NOT(OR(RIGHT(M42,1)="K",IFERROR(ISNUMBER(--RIGHT(M42,1)),FALSE())))),"NO",IF(RIGHT(M42,1)=MID("0K987654321",MOD(SUMPRODUCT(--MID(RIGHT("00000000"&amp;LEFT(M42,LEN(M42)-1),8),{1,2,3,4,5,6,7,8},1),{3,2,7,6,5,4,3,2}),11)+1,1),"SI","NO"))</f>
        <v>SI</v>
      </c>
      <c r="O42" s="13" t="str">
        <f ca="1">IF(LEFT(K42,9)="RECHAZADO",COUNTIF($K$5:K42,"RECHAZADO*"),"")</f>
        <v/>
      </c>
      <c r="P42" s="14" t="str">
        <f t="shared" ca="1" si="8"/>
        <v>OK</v>
      </c>
      <c r="Q42" s="14" t="str">
        <f>IF(COUNTIF(Catalogo_Planes_PIMS!$B$5:$B$7,H42)=1,"SI","NO")</f>
        <v>SI</v>
      </c>
      <c r="R42" s="14" t="str">
        <f t="shared" si="9"/>
        <v>OK</v>
      </c>
      <c r="S42" s="15" t="str">
        <f ca="1">IF(P42&lt;&gt;"OK","Revisar campos obligatorios, fechas y prima",IF(R42="DUPLICADO","ID_Solicitud duplicado",IF(Q42="NO","Plan no existe en catálogo",IF(AND(G42&lt;&gt;"",OR(G42&lt;IFERROR(INDEX(Catalogo_Planes_PIMS!$D$5:$D$7,MATCH(H42,Catalogo_Planes_PIMS!$B$5:$B$7,0)),18),G42&gt;IFERROR(INDEX(Catalogo_Planes_PIMS!$E$5:$E$7,MATCH(H42,Catalogo_Planes_PIMS!$B$5:$B$7,0)),65))),"Edad fuera de rango",IF(N42="NO","RUT inválido",IF(OR(J42="",I42&lt;&gt;J42),"Descalce de prima","Sin errores adicionales"))))))</f>
        <v>Sin errores adicionales</v>
      </c>
    </row>
    <row r="43" spans="1:19" x14ac:dyDescent="0.25">
      <c r="A43" s="7" t="s">
        <v>141</v>
      </c>
      <c r="B43" s="8">
        <v>46302</v>
      </c>
      <c r="C43" s="7" t="s">
        <v>27</v>
      </c>
      <c r="D43" s="9" t="s">
        <v>142</v>
      </c>
      <c r="E43" s="9" t="s">
        <v>143</v>
      </c>
      <c r="F43" s="8">
        <v>26351</v>
      </c>
      <c r="G43" s="10">
        <f t="shared" ca="1" si="5"/>
        <v>54</v>
      </c>
      <c r="H43" s="7" t="s">
        <v>37</v>
      </c>
      <c r="I43" s="11">
        <v>7990</v>
      </c>
      <c r="J43" s="11">
        <f>IFERROR(INDEX(Catalogo_Planes_PIMS!$C$5:$C$7,MATCH(H43,Catalogo_Planes_PIMS!$B$5:$B$7,0)),"")</f>
        <v>7990</v>
      </c>
      <c r="K43" s="7" t="str">
        <f ca="1">IF(P43&lt;&gt;"OK","RECHAZADO_DATOS_INCOMPLETOS",IF(R43="DUPLICADO","RECHAZADO_ID_DUPLICADO",IF(Q43="NO","RECHAZADO_PLAN_NO_CATALOGADO",IF(OR(G43="",G43&lt;IFERROR(INDEX(Catalogo_Planes_PIMS!$D$5:$D$7,MATCH(H43,Catalogo_Planes_PIMS!$B$5:$B$7,0)),18),G43&gt;IFERROR(INDEX(Catalogo_Planes_PIMS!$E$5:$E$7,MATCH(H43,Catalogo_Planes_PIMS!$B$5:$B$7,0)),65)),"RECHAZADO_ELEGIBILIDAD",IF(N43="NO","RECHAZADO_RUT_INVALIDO",IF(OR(J43="",I43&lt;&gt;J43),"RECHAZADO_DESCALCE_PRIMA","APROBADO_CARGA_PIMS"))))))</f>
        <v>RECHAZADO_RUT_INVALIDO</v>
      </c>
      <c r="L43" s="7" t="str">
        <f t="shared" ca="1" si="6"/>
        <v>RUT con formato o dígito verificador inválido</v>
      </c>
      <c r="M43" s="12" t="str">
        <f t="shared" si="7"/>
        <v>179339064</v>
      </c>
      <c r="N43" s="13" t="str">
        <f>IF(OR(D43="",ISERROR(FIND("-",TRIM(D43))),MID(TRIM(D43),LEN(TRIM(D43))-1,1)&lt;&gt;"-",LEN(M43)&lt;8,LEN(M43)&gt;9,NOT(ISNUMBER(--LEFT(M43,LEN(M43)-1))),NOT(OR(RIGHT(M43,1)="K",IFERROR(ISNUMBER(--RIGHT(M43,1)),FALSE())))),"NO",IF(RIGHT(M43,1)=MID("0K987654321",MOD(SUMPRODUCT(--MID(RIGHT("00000000"&amp;LEFT(M43,LEN(M43)-1),8),{1,2,3,4,5,6,7,8},1),{3,2,7,6,5,4,3,2}),11)+1,1),"SI","NO"))</f>
        <v>NO</v>
      </c>
      <c r="O43" s="13">
        <f ca="1">IF(LEFT(K43,9)="RECHAZADO",COUNTIF($K$5:K43,"RECHAZADO*"),"")</f>
        <v>17</v>
      </c>
      <c r="P43" s="14" t="str">
        <f t="shared" ca="1" si="8"/>
        <v>OK</v>
      </c>
      <c r="Q43" s="14" t="str">
        <f>IF(COUNTIF(Catalogo_Planes_PIMS!$B$5:$B$7,H43)=1,"SI","NO")</f>
        <v>SI</v>
      </c>
      <c r="R43" s="14" t="str">
        <f t="shared" si="9"/>
        <v>OK</v>
      </c>
      <c r="S43" s="15" t="str">
        <f ca="1">IF(P43&lt;&gt;"OK","Revisar campos obligatorios, fechas y prima",IF(R43="DUPLICADO","ID_Solicitud duplicado",IF(Q43="NO","Plan no existe en catálogo",IF(AND(G43&lt;&gt;"",OR(G43&lt;IFERROR(INDEX(Catalogo_Planes_PIMS!$D$5:$D$7,MATCH(H43,Catalogo_Planes_PIMS!$B$5:$B$7,0)),18),G43&gt;IFERROR(INDEX(Catalogo_Planes_PIMS!$E$5:$E$7,MATCH(H43,Catalogo_Planes_PIMS!$B$5:$B$7,0)),65))),"Edad fuera de rango",IF(N43="NO","RUT inválido",IF(OR(J43="",I43&lt;&gt;J43),"Descalce de prima","Sin errores adicionales"))))))</f>
        <v>RUT inválido</v>
      </c>
    </row>
    <row r="44" spans="1:19" x14ac:dyDescent="0.25">
      <c r="A44" s="7" t="s">
        <v>144</v>
      </c>
      <c r="B44" s="8">
        <v>46302</v>
      </c>
      <c r="C44" s="7" t="s">
        <v>22</v>
      </c>
      <c r="D44" s="9" t="s">
        <v>145</v>
      </c>
      <c r="E44" s="9" t="s">
        <v>146</v>
      </c>
      <c r="F44" s="8">
        <v>34149</v>
      </c>
      <c r="G44" s="10">
        <f t="shared" ca="1" si="5"/>
        <v>33</v>
      </c>
      <c r="H44" s="7" t="s">
        <v>37</v>
      </c>
      <c r="I44" s="11">
        <v>7990</v>
      </c>
      <c r="J44" s="11">
        <f>IFERROR(INDEX(Catalogo_Planes_PIMS!$C$5:$C$7,MATCH(H44,Catalogo_Planes_PIMS!$B$5:$B$7,0)),"")</f>
        <v>7990</v>
      </c>
      <c r="K44" s="7" t="str">
        <f ca="1">IF(P44&lt;&gt;"OK","RECHAZADO_DATOS_INCOMPLETOS",IF(R44="DUPLICADO","RECHAZADO_ID_DUPLICADO",IF(Q44="NO","RECHAZADO_PLAN_NO_CATALOGADO",IF(OR(G44="",G44&lt;IFERROR(INDEX(Catalogo_Planes_PIMS!$D$5:$D$7,MATCH(H44,Catalogo_Planes_PIMS!$B$5:$B$7,0)),18),G44&gt;IFERROR(INDEX(Catalogo_Planes_PIMS!$E$5:$E$7,MATCH(H44,Catalogo_Planes_PIMS!$B$5:$B$7,0)),65)),"RECHAZADO_ELEGIBILIDAD",IF(N44="NO","RECHAZADO_RUT_INVALIDO",IF(OR(J44="",I44&lt;&gt;J44),"RECHAZADO_DESCALCE_PRIMA","APROBADO_CARGA_PIMS"))))))</f>
        <v>APROBADO_CARGA_PIMS</v>
      </c>
      <c r="L44" s="7" t="str">
        <f t="shared" ca="1" si="6"/>
        <v>Sin observaciones</v>
      </c>
      <c r="M44" s="12" t="str">
        <f t="shared" si="7"/>
        <v>69535526</v>
      </c>
      <c r="N44" s="13" t="str">
        <f>IF(OR(D44="",ISERROR(FIND("-",TRIM(D44))),MID(TRIM(D44),LEN(TRIM(D44))-1,1)&lt;&gt;"-",LEN(M44)&lt;8,LEN(M44)&gt;9,NOT(ISNUMBER(--LEFT(M44,LEN(M44)-1))),NOT(OR(RIGHT(M44,1)="K",IFERROR(ISNUMBER(--RIGHT(M44,1)),FALSE())))),"NO",IF(RIGHT(M44,1)=MID("0K987654321",MOD(SUMPRODUCT(--MID(RIGHT("00000000"&amp;LEFT(M44,LEN(M44)-1),8),{1,2,3,4,5,6,7,8},1),{3,2,7,6,5,4,3,2}),11)+1,1),"SI","NO"))</f>
        <v>SI</v>
      </c>
      <c r="O44" s="13" t="str">
        <f ca="1">IF(LEFT(K44,9)="RECHAZADO",COUNTIF($K$5:K44,"RECHAZADO*"),"")</f>
        <v/>
      </c>
      <c r="P44" s="14" t="str">
        <f t="shared" ca="1" si="8"/>
        <v>OK</v>
      </c>
      <c r="Q44" s="14" t="str">
        <f>IF(COUNTIF(Catalogo_Planes_PIMS!$B$5:$B$7,H44)=1,"SI","NO")</f>
        <v>SI</v>
      </c>
      <c r="R44" s="14" t="str">
        <f t="shared" si="9"/>
        <v>OK</v>
      </c>
      <c r="S44" s="15" t="str">
        <f ca="1">IF(P44&lt;&gt;"OK","Revisar campos obligatorios, fechas y prima",IF(R44="DUPLICADO","ID_Solicitud duplicado",IF(Q44="NO","Plan no existe en catálogo",IF(AND(G44&lt;&gt;"",OR(G44&lt;IFERROR(INDEX(Catalogo_Planes_PIMS!$D$5:$D$7,MATCH(H44,Catalogo_Planes_PIMS!$B$5:$B$7,0)),18),G44&gt;IFERROR(INDEX(Catalogo_Planes_PIMS!$E$5:$E$7,MATCH(H44,Catalogo_Planes_PIMS!$B$5:$B$7,0)),65))),"Edad fuera de rango",IF(N44="NO","RUT inválido",IF(OR(J44="",I44&lt;&gt;J44),"Descalce de prima","Sin errores adicionales"))))))</f>
        <v>Sin errores adicionales</v>
      </c>
    </row>
    <row r="45" spans="1:19" x14ac:dyDescent="0.25">
      <c r="A45" s="7" t="s">
        <v>147</v>
      </c>
      <c r="B45" s="8">
        <v>46302</v>
      </c>
      <c r="C45" s="7" t="s">
        <v>34</v>
      </c>
      <c r="D45" s="9" t="s">
        <v>148</v>
      </c>
      <c r="E45" s="9" t="s">
        <v>149</v>
      </c>
      <c r="F45" s="8">
        <v>29090</v>
      </c>
      <c r="G45" s="10">
        <f t="shared" ca="1" si="5"/>
        <v>47</v>
      </c>
      <c r="H45" s="7" t="s">
        <v>44</v>
      </c>
      <c r="I45" s="11">
        <v>12990</v>
      </c>
      <c r="J45" s="11">
        <f>IFERROR(INDEX(Catalogo_Planes_PIMS!$C$5:$C$7,MATCH(H45,Catalogo_Planes_PIMS!$B$5:$B$7,0)),"")</f>
        <v>12990</v>
      </c>
      <c r="K45" s="7" t="str">
        <f ca="1">IF(P45&lt;&gt;"OK","RECHAZADO_DATOS_INCOMPLETOS",IF(R45="DUPLICADO","RECHAZADO_ID_DUPLICADO",IF(Q45="NO","RECHAZADO_PLAN_NO_CATALOGADO",IF(OR(G45="",G45&lt;IFERROR(INDEX(Catalogo_Planes_PIMS!$D$5:$D$7,MATCH(H45,Catalogo_Planes_PIMS!$B$5:$B$7,0)),18),G45&gt;IFERROR(INDEX(Catalogo_Planes_PIMS!$E$5:$E$7,MATCH(H45,Catalogo_Planes_PIMS!$B$5:$B$7,0)),65)),"RECHAZADO_ELEGIBILIDAD",IF(N45="NO","RECHAZADO_RUT_INVALIDO",IF(OR(J45="",I45&lt;&gt;J45),"RECHAZADO_DESCALCE_PRIMA","APROBADO_CARGA_PIMS"))))))</f>
        <v>APROBADO_CARGA_PIMS</v>
      </c>
      <c r="L45" s="7" t="str">
        <f t="shared" ca="1" si="6"/>
        <v>Sin observaciones</v>
      </c>
      <c r="M45" s="12" t="str">
        <f t="shared" si="7"/>
        <v>183479148</v>
      </c>
      <c r="N45" s="13" t="str">
        <f>IF(OR(D45="",ISERROR(FIND("-",TRIM(D45))),MID(TRIM(D45),LEN(TRIM(D45))-1,1)&lt;&gt;"-",LEN(M45)&lt;8,LEN(M45)&gt;9,NOT(ISNUMBER(--LEFT(M45,LEN(M45)-1))),NOT(OR(RIGHT(M45,1)="K",IFERROR(ISNUMBER(--RIGHT(M45,1)),FALSE())))),"NO",IF(RIGHT(M45,1)=MID("0K987654321",MOD(SUMPRODUCT(--MID(RIGHT("00000000"&amp;LEFT(M45,LEN(M45)-1),8),{1,2,3,4,5,6,7,8},1),{3,2,7,6,5,4,3,2}),11)+1,1),"SI","NO"))</f>
        <v>SI</v>
      </c>
      <c r="O45" s="13" t="str">
        <f ca="1">IF(LEFT(K45,9)="RECHAZADO",COUNTIF($K$5:K45,"RECHAZADO*"),"")</f>
        <v/>
      </c>
      <c r="P45" s="14" t="str">
        <f t="shared" ca="1" si="8"/>
        <v>OK</v>
      </c>
      <c r="Q45" s="14" t="str">
        <f>IF(COUNTIF(Catalogo_Planes_PIMS!$B$5:$B$7,H45)=1,"SI","NO")</f>
        <v>SI</v>
      </c>
      <c r="R45" s="14" t="str">
        <f t="shared" si="9"/>
        <v>OK</v>
      </c>
      <c r="S45" s="15" t="str">
        <f ca="1">IF(P45&lt;&gt;"OK","Revisar campos obligatorios, fechas y prima",IF(R45="DUPLICADO","ID_Solicitud duplicado",IF(Q45="NO","Plan no existe en catálogo",IF(AND(G45&lt;&gt;"",OR(G45&lt;IFERROR(INDEX(Catalogo_Planes_PIMS!$D$5:$D$7,MATCH(H45,Catalogo_Planes_PIMS!$B$5:$B$7,0)),18),G45&gt;IFERROR(INDEX(Catalogo_Planes_PIMS!$E$5:$E$7,MATCH(H45,Catalogo_Planes_PIMS!$B$5:$B$7,0)),65))),"Edad fuera de rango",IF(N45="NO","RUT inválido",IF(OR(J45="",I45&lt;&gt;J45),"Descalce de prima","Sin errores adicionales"))))))</f>
        <v>Sin errores adicionales</v>
      </c>
    </row>
    <row r="46" spans="1:19" x14ac:dyDescent="0.25">
      <c r="A46" s="7" t="s">
        <v>150</v>
      </c>
      <c r="B46" s="8">
        <v>46302</v>
      </c>
      <c r="C46" s="7" t="s">
        <v>22</v>
      </c>
      <c r="D46" s="9" t="s">
        <v>151</v>
      </c>
      <c r="E46" s="9" t="s">
        <v>152</v>
      </c>
      <c r="F46" s="8">
        <v>31978</v>
      </c>
      <c r="G46" s="10">
        <f t="shared" ca="1" si="5"/>
        <v>39</v>
      </c>
      <c r="H46" s="7" t="s">
        <v>37</v>
      </c>
      <c r="I46" s="11">
        <v>7990</v>
      </c>
      <c r="J46" s="11">
        <f>IFERROR(INDEX(Catalogo_Planes_PIMS!$C$5:$C$7,MATCH(H46,Catalogo_Planes_PIMS!$B$5:$B$7,0)),"")</f>
        <v>7990</v>
      </c>
      <c r="K46" s="7" t="str">
        <f ca="1">IF(P46&lt;&gt;"OK","RECHAZADO_DATOS_INCOMPLETOS",IF(R46="DUPLICADO","RECHAZADO_ID_DUPLICADO",IF(Q46="NO","RECHAZADO_PLAN_NO_CATALOGADO",IF(OR(G46="",G46&lt;IFERROR(INDEX(Catalogo_Planes_PIMS!$D$5:$D$7,MATCH(H46,Catalogo_Planes_PIMS!$B$5:$B$7,0)),18),G46&gt;IFERROR(INDEX(Catalogo_Planes_PIMS!$E$5:$E$7,MATCH(H46,Catalogo_Planes_PIMS!$B$5:$B$7,0)),65)),"RECHAZADO_ELEGIBILIDAD",IF(N46="NO","RECHAZADO_RUT_INVALIDO",IF(OR(J46="",I46&lt;&gt;J46),"RECHAZADO_DESCALCE_PRIMA","APROBADO_CARGA_PIMS"))))))</f>
        <v>APROBADO_CARGA_PIMS</v>
      </c>
      <c r="L46" s="7" t="str">
        <f t="shared" ca="1" si="6"/>
        <v>Sin observaciones</v>
      </c>
      <c r="M46" s="12" t="str">
        <f t="shared" si="7"/>
        <v>95657982</v>
      </c>
      <c r="N46" s="13" t="str">
        <f>IF(OR(D46="",ISERROR(FIND("-",TRIM(D46))),MID(TRIM(D46),LEN(TRIM(D46))-1,1)&lt;&gt;"-",LEN(M46)&lt;8,LEN(M46)&gt;9,NOT(ISNUMBER(--LEFT(M46,LEN(M46)-1))),NOT(OR(RIGHT(M46,1)="K",IFERROR(ISNUMBER(--RIGHT(M46,1)),FALSE())))),"NO",IF(RIGHT(M46,1)=MID("0K987654321",MOD(SUMPRODUCT(--MID(RIGHT("00000000"&amp;LEFT(M46,LEN(M46)-1),8),{1,2,3,4,5,6,7,8},1),{3,2,7,6,5,4,3,2}),11)+1,1),"SI","NO"))</f>
        <v>SI</v>
      </c>
      <c r="O46" s="13" t="str">
        <f ca="1">IF(LEFT(K46,9)="RECHAZADO",COUNTIF($K$5:K46,"RECHAZADO*"),"")</f>
        <v/>
      </c>
      <c r="P46" s="14" t="str">
        <f t="shared" ca="1" si="8"/>
        <v>OK</v>
      </c>
      <c r="Q46" s="14" t="str">
        <f>IF(COUNTIF(Catalogo_Planes_PIMS!$B$5:$B$7,H46)=1,"SI","NO")</f>
        <v>SI</v>
      </c>
      <c r="R46" s="14" t="str">
        <f t="shared" si="9"/>
        <v>OK</v>
      </c>
      <c r="S46" s="15" t="str">
        <f ca="1">IF(P46&lt;&gt;"OK","Revisar campos obligatorios, fechas y prima",IF(R46="DUPLICADO","ID_Solicitud duplicado",IF(Q46="NO","Plan no existe en catálogo",IF(AND(G46&lt;&gt;"",OR(G46&lt;IFERROR(INDEX(Catalogo_Planes_PIMS!$D$5:$D$7,MATCH(H46,Catalogo_Planes_PIMS!$B$5:$B$7,0)),18),G46&gt;IFERROR(INDEX(Catalogo_Planes_PIMS!$E$5:$E$7,MATCH(H46,Catalogo_Planes_PIMS!$B$5:$B$7,0)),65))),"Edad fuera de rango",IF(N46="NO","RUT inválido",IF(OR(J46="",I46&lt;&gt;J46),"Descalce de prima","Sin errores adicionales"))))))</f>
        <v>Sin errores adicionales</v>
      </c>
    </row>
    <row r="47" spans="1:19" x14ac:dyDescent="0.25">
      <c r="A47" s="7" t="s">
        <v>153</v>
      </c>
      <c r="B47" s="8">
        <v>46302</v>
      </c>
      <c r="C47" s="7" t="s">
        <v>34</v>
      </c>
      <c r="D47" s="9" t="s">
        <v>154</v>
      </c>
      <c r="E47" s="9" t="s">
        <v>155</v>
      </c>
      <c r="F47" s="8">
        <v>20208</v>
      </c>
      <c r="G47" s="10">
        <f t="shared" ca="1" si="5"/>
        <v>71</v>
      </c>
      <c r="H47" s="7" t="s">
        <v>25</v>
      </c>
      <c r="I47" s="11">
        <v>18990</v>
      </c>
      <c r="J47" s="11">
        <f>IFERROR(INDEX(Catalogo_Planes_PIMS!$C$5:$C$7,MATCH(H47,Catalogo_Planes_PIMS!$B$5:$B$7,0)),"")</f>
        <v>18990</v>
      </c>
      <c r="K47" s="7" t="str">
        <f ca="1">IF(P47&lt;&gt;"OK","RECHAZADO_DATOS_INCOMPLETOS",IF(R47="DUPLICADO","RECHAZADO_ID_DUPLICADO",IF(Q47="NO","RECHAZADO_PLAN_NO_CATALOGADO",IF(OR(G47="",G47&lt;IFERROR(INDEX(Catalogo_Planes_PIMS!$D$5:$D$7,MATCH(H47,Catalogo_Planes_PIMS!$B$5:$B$7,0)),18),G47&gt;IFERROR(INDEX(Catalogo_Planes_PIMS!$E$5:$E$7,MATCH(H47,Catalogo_Planes_PIMS!$B$5:$B$7,0)),65)),"RECHAZADO_ELEGIBILIDAD",IF(N47="NO","RECHAZADO_RUT_INVALIDO",IF(OR(J47="",I47&lt;&gt;J47),"RECHAZADO_DESCALCE_PRIMA","APROBADO_CARGA_PIMS"))))))</f>
        <v>RECHAZADO_ELEGIBILIDAD</v>
      </c>
      <c r="L47" s="7" t="str">
        <f t="shared" ca="1" si="6"/>
        <v>Edad fuera del rango definido en catálogo</v>
      </c>
      <c r="M47" s="12" t="str">
        <f t="shared" si="7"/>
        <v>99442891</v>
      </c>
      <c r="N47" s="13" t="str">
        <f>IF(OR(D47="",ISERROR(FIND("-",TRIM(D47))),MID(TRIM(D47),LEN(TRIM(D47))-1,1)&lt;&gt;"-",LEN(M47)&lt;8,LEN(M47)&gt;9,NOT(ISNUMBER(--LEFT(M47,LEN(M47)-1))),NOT(OR(RIGHT(M47,1)="K",IFERROR(ISNUMBER(--RIGHT(M47,1)),FALSE())))),"NO",IF(RIGHT(M47,1)=MID("0K987654321",MOD(SUMPRODUCT(--MID(RIGHT("00000000"&amp;LEFT(M47,LEN(M47)-1),8),{1,2,3,4,5,6,7,8},1),{3,2,7,6,5,4,3,2}),11)+1,1),"SI","NO"))</f>
        <v>SI</v>
      </c>
      <c r="O47" s="13">
        <f ca="1">IF(LEFT(K47,9)="RECHAZADO",COUNTIF($K$5:K47,"RECHAZADO*"),"")</f>
        <v>18</v>
      </c>
      <c r="P47" s="14" t="str">
        <f t="shared" ca="1" si="8"/>
        <v>OK</v>
      </c>
      <c r="Q47" s="14" t="str">
        <f>IF(COUNTIF(Catalogo_Planes_PIMS!$B$5:$B$7,H47)=1,"SI","NO")</f>
        <v>SI</v>
      </c>
      <c r="R47" s="14" t="str">
        <f t="shared" si="9"/>
        <v>OK</v>
      </c>
      <c r="S47" s="15" t="str">
        <f ca="1">IF(P47&lt;&gt;"OK","Revisar campos obligatorios, fechas y prima",IF(R47="DUPLICADO","ID_Solicitud duplicado",IF(Q47="NO","Plan no existe en catálogo",IF(AND(G47&lt;&gt;"",OR(G47&lt;IFERROR(INDEX(Catalogo_Planes_PIMS!$D$5:$D$7,MATCH(H47,Catalogo_Planes_PIMS!$B$5:$B$7,0)),18),G47&gt;IFERROR(INDEX(Catalogo_Planes_PIMS!$E$5:$E$7,MATCH(H47,Catalogo_Planes_PIMS!$B$5:$B$7,0)),65))),"Edad fuera de rango",IF(N47="NO","RUT inválido",IF(OR(J47="",I47&lt;&gt;J47),"Descalce de prima","Sin errores adicionales"))))))</f>
        <v>Edad fuera de rango</v>
      </c>
    </row>
    <row r="48" spans="1:19" x14ac:dyDescent="0.25">
      <c r="A48" s="7" t="s">
        <v>156</v>
      </c>
      <c r="B48" s="8">
        <v>46302</v>
      </c>
      <c r="C48" s="7" t="s">
        <v>22</v>
      </c>
      <c r="D48" s="9" t="s">
        <v>157</v>
      </c>
      <c r="E48" s="9" t="s">
        <v>158</v>
      </c>
      <c r="F48" s="8">
        <v>20544</v>
      </c>
      <c r="G48" s="10">
        <f t="shared" ca="1" si="5"/>
        <v>70</v>
      </c>
      <c r="H48" s="7" t="s">
        <v>37</v>
      </c>
      <c r="I48" s="11">
        <v>7990</v>
      </c>
      <c r="J48" s="11">
        <f>IFERROR(INDEX(Catalogo_Planes_PIMS!$C$5:$C$7,MATCH(H48,Catalogo_Planes_PIMS!$B$5:$B$7,0)),"")</f>
        <v>7990</v>
      </c>
      <c r="K48" s="7" t="str">
        <f ca="1">IF(P48&lt;&gt;"OK","RECHAZADO_DATOS_INCOMPLETOS",IF(R48="DUPLICADO","RECHAZADO_ID_DUPLICADO",IF(Q48="NO","RECHAZADO_PLAN_NO_CATALOGADO",IF(OR(G48="",G48&lt;IFERROR(INDEX(Catalogo_Planes_PIMS!$D$5:$D$7,MATCH(H48,Catalogo_Planes_PIMS!$B$5:$B$7,0)),18),G48&gt;IFERROR(INDEX(Catalogo_Planes_PIMS!$E$5:$E$7,MATCH(H48,Catalogo_Planes_PIMS!$B$5:$B$7,0)),65)),"RECHAZADO_ELEGIBILIDAD",IF(N48="NO","RECHAZADO_RUT_INVALIDO",IF(OR(J48="",I48&lt;&gt;J48),"RECHAZADO_DESCALCE_PRIMA","APROBADO_CARGA_PIMS"))))))</f>
        <v>RECHAZADO_ELEGIBILIDAD</v>
      </c>
      <c r="L48" s="7" t="str">
        <f t="shared" ca="1" si="6"/>
        <v>Edad fuera del rango definido en catálogo</v>
      </c>
      <c r="M48" s="12" t="str">
        <f t="shared" si="7"/>
        <v>212986003</v>
      </c>
      <c r="N48" s="13" t="str">
        <f>IF(OR(D48="",ISERROR(FIND("-",TRIM(D48))),MID(TRIM(D48),LEN(TRIM(D48))-1,1)&lt;&gt;"-",LEN(M48)&lt;8,LEN(M48)&gt;9,NOT(ISNUMBER(--LEFT(M48,LEN(M48)-1))),NOT(OR(RIGHT(M48,1)="K",IFERROR(ISNUMBER(--RIGHT(M48,1)),FALSE())))),"NO",IF(RIGHT(M48,1)=MID("0K987654321",MOD(SUMPRODUCT(--MID(RIGHT("00000000"&amp;LEFT(M48,LEN(M48)-1),8),{1,2,3,4,5,6,7,8},1),{3,2,7,6,5,4,3,2}),11)+1,1),"SI","NO"))</f>
        <v>SI</v>
      </c>
      <c r="O48" s="13">
        <f ca="1">IF(LEFT(K48,9)="RECHAZADO",COUNTIF($K$5:K48,"RECHAZADO*"),"")</f>
        <v>19</v>
      </c>
      <c r="P48" s="14" t="str">
        <f t="shared" ca="1" si="8"/>
        <v>OK</v>
      </c>
      <c r="Q48" s="14" t="str">
        <f>IF(COUNTIF(Catalogo_Planes_PIMS!$B$5:$B$7,H48)=1,"SI","NO")</f>
        <v>SI</v>
      </c>
      <c r="R48" s="14" t="str">
        <f t="shared" si="9"/>
        <v>OK</v>
      </c>
      <c r="S48" s="15" t="str">
        <f ca="1">IF(P48&lt;&gt;"OK","Revisar campos obligatorios, fechas y prima",IF(R48="DUPLICADO","ID_Solicitud duplicado",IF(Q48="NO","Plan no existe en catálogo",IF(AND(G48&lt;&gt;"",OR(G48&lt;IFERROR(INDEX(Catalogo_Planes_PIMS!$D$5:$D$7,MATCH(H48,Catalogo_Planes_PIMS!$B$5:$B$7,0)),18),G48&gt;IFERROR(INDEX(Catalogo_Planes_PIMS!$E$5:$E$7,MATCH(H48,Catalogo_Planes_PIMS!$B$5:$B$7,0)),65))),"Edad fuera de rango",IF(N48="NO","RUT inválido",IF(OR(J48="",I48&lt;&gt;J48),"Descalce de prima","Sin errores adicionales"))))))</f>
        <v>Edad fuera de rango</v>
      </c>
    </row>
    <row r="49" spans="1:19" x14ac:dyDescent="0.25">
      <c r="A49" s="7" t="s">
        <v>159</v>
      </c>
      <c r="B49" s="8">
        <v>46302</v>
      </c>
      <c r="C49" s="7" t="s">
        <v>22</v>
      </c>
      <c r="D49" s="9" t="s">
        <v>160</v>
      </c>
      <c r="E49" s="9" t="s">
        <v>161</v>
      </c>
      <c r="F49" s="8">
        <v>26043</v>
      </c>
      <c r="G49" s="10">
        <f t="shared" ca="1" si="5"/>
        <v>55</v>
      </c>
      <c r="H49" s="7" t="s">
        <v>44</v>
      </c>
      <c r="I49" s="11">
        <v>12990</v>
      </c>
      <c r="J49" s="11">
        <f>IFERROR(INDEX(Catalogo_Planes_PIMS!$C$5:$C$7,MATCH(H49,Catalogo_Planes_PIMS!$B$5:$B$7,0)),"")</f>
        <v>12990</v>
      </c>
      <c r="K49" s="7" t="str">
        <f ca="1">IF(P49&lt;&gt;"OK","RECHAZADO_DATOS_INCOMPLETOS",IF(R49="DUPLICADO","RECHAZADO_ID_DUPLICADO",IF(Q49="NO","RECHAZADO_PLAN_NO_CATALOGADO",IF(OR(G49="",G49&lt;IFERROR(INDEX(Catalogo_Planes_PIMS!$D$5:$D$7,MATCH(H49,Catalogo_Planes_PIMS!$B$5:$B$7,0)),18),G49&gt;IFERROR(INDEX(Catalogo_Planes_PIMS!$E$5:$E$7,MATCH(H49,Catalogo_Planes_PIMS!$B$5:$B$7,0)),65)),"RECHAZADO_ELEGIBILIDAD",IF(N49="NO","RECHAZADO_RUT_INVALIDO",IF(OR(J49="",I49&lt;&gt;J49),"RECHAZADO_DESCALCE_PRIMA","APROBADO_CARGA_PIMS"))))))</f>
        <v>APROBADO_CARGA_PIMS</v>
      </c>
      <c r="L49" s="7" t="str">
        <f t="shared" ca="1" si="6"/>
        <v>Sin observaciones</v>
      </c>
      <c r="M49" s="12" t="str">
        <f t="shared" si="7"/>
        <v>149021248</v>
      </c>
      <c r="N49" s="13" t="str">
        <f>IF(OR(D49="",ISERROR(FIND("-",TRIM(D49))),MID(TRIM(D49),LEN(TRIM(D49))-1,1)&lt;&gt;"-",LEN(M49)&lt;8,LEN(M49)&gt;9,NOT(ISNUMBER(--LEFT(M49,LEN(M49)-1))),NOT(OR(RIGHT(M49,1)="K",IFERROR(ISNUMBER(--RIGHT(M49,1)),FALSE())))),"NO",IF(RIGHT(M49,1)=MID("0K987654321",MOD(SUMPRODUCT(--MID(RIGHT("00000000"&amp;LEFT(M49,LEN(M49)-1),8),{1,2,3,4,5,6,7,8},1),{3,2,7,6,5,4,3,2}),11)+1,1),"SI","NO"))</f>
        <v>SI</v>
      </c>
      <c r="O49" s="13" t="str">
        <f ca="1">IF(LEFT(K49,9)="RECHAZADO",COUNTIF($K$5:K49,"RECHAZADO*"),"")</f>
        <v/>
      </c>
      <c r="P49" s="14" t="str">
        <f t="shared" ca="1" si="8"/>
        <v>OK</v>
      </c>
      <c r="Q49" s="14" t="str">
        <f>IF(COUNTIF(Catalogo_Planes_PIMS!$B$5:$B$7,H49)=1,"SI","NO")</f>
        <v>SI</v>
      </c>
      <c r="R49" s="14" t="str">
        <f t="shared" si="9"/>
        <v>OK</v>
      </c>
      <c r="S49" s="15" t="str">
        <f ca="1">IF(P49&lt;&gt;"OK","Revisar campos obligatorios, fechas y prima",IF(R49="DUPLICADO","ID_Solicitud duplicado",IF(Q49="NO","Plan no existe en catálogo",IF(AND(G49&lt;&gt;"",OR(G49&lt;IFERROR(INDEX(Catalogo_Planes_PIMS!$D$5:$D$7,MATCH(H49,Catalogo_Planes_PIMS!$B$5:$B$7,0)),18),G49&gt;IFERROR(INDEX(Catalogo_Planes_PIMS!$E$5:$E$7,MATCH(H49,Catalogo_Planes_PIMS!$B$5:$B$7,0)),65))),"Edad fuera de rango",IF(N49="NO","RUT inválido",IF(OR(J49="",I49&lt;&gt;J49),"Descalce de prima","Sin errores adicionales"))))))</f>
        <v>Sin errores adicionales</v>
      </c>
    </row>
    <row r="50" spans="1:19" x14ac:dyDescent="0.25">
      <c r="A50" s="7" t="s">
        <v>162</v>
      </c>
      <c r="B50" s="8">
        <v>46302</v>
      </c>
      <c r="C50" s="7" t="s">
        <v>22</v>
      </c>
      <c r="D50" s="9" t="s">
        <v>163</v>
      </c>
      <c r="E50" s="9" t="s">
        <v>164</v>
      </c>
      <c r="F50" s="8">
        <v>24938</v>
      </c>
      <c r="G50" s="10">
        <f t="shared" ca="1" si="5"/>
        <v>58</v>
      </c>
      <c r="H50" s="7" t="s">
        <v>25</v>
      </c>
      <c r="I50" s="11">
        <v>18990</v>
      </c>
      <c r="J50" s="11">
        <f>IFERROR(INDEX(Catalogo_Planes_PIMS!$C$5:$C$7,MATCH(H50,Catalogo_Planes_PIMS!$B$5:$B$7,0)),"")</f>
        <v>18990</v>
      </c>
      <c r="K50" s="7" t="str">
        <f ca="1">IF(P50&lt;&gt;"OK","RECHAZADO_DATOS_INCOMPLETOS",IF(R50="DUPLICADO","RECHAZADO_ID_DUPLICADO",IF(Q50="NO","RECHAZADO_PLAN_NO_CATALOGADO",IF(OR(G50="",G50&lt;IFERROR(INDEX(Catalogo_Planes_PIMS!$D$5:$D$7,MATCH(H50,Catalogo_Planes_PIMS!$B$5:$B$7,0)),18),G50&gt;IFERROR(INDEX(Catalogo_Planes_PIMS!$E$5:$E$7,MATCH(H50,Catalogo_Planes_PIMS!$B$5:$B$7,0)),65)),"RECHAZADO_ELEGIBILIDAD",IF(N50="NO","RECHAZADO_RUT_INVALIDO",IF(OR(J50="",I50&lt;&gt;J50),"RECHAZADO_DESCALCE_PRIMA","APROBADO_CARGA_PIMS"))))))</f>
        <v>APROBADO_CARGA_PIMS</v>
      </c>
      <c r="L50" s="7" t="str">
        <f t="shared" ca="1" si="6"/>
        <v>Sin observaciones</v>
      </c>
      <c r="M50" s="12" t="str">
        <f t="shared" si="7"/>
        <v>168278012</v>
      </c>
      <c r="N50" s="13" t="str">
        <f>IF(OR(D50="",ISERROR(FIND("-",TRIM(D50))),MID(TRIM(D50),LEN(TRIM(D50))-1,1)&lt;&gt;"-",LEN(M50)&lt;8,LEN(M50)&gt;9,NOT(ISNUMBER(--LEFT(M50,LEN(M50)-1))),NOT(OR(RIGHT(M50,1)="K",IFERROR(ISNUMBER(--RIGHT(M50,1)),FALSE())))),"NO",IF(RIGHT(M50,1)=MID("0K987654321",MOD(SUMPRODUCT(--MID(RIGHT("00000000"&amp;LEFT(M50,LEN(M50)-1),8),{1,2,3,4,5,6,7,8},1),{3,2,7,6,5,4,3,2}),11)+1,1),"SI","NO"))</f>
        <v>SI</v>
      </c>
      <c r="O50" s="13" t="str">
        <f ca="1">IF(LEFT(K50,9)="RECHAZADO",COUNTIF($K$5:K50,"RECHAZADO*"),"")</f>
        <v/>
      </c>
      <c r="P50" s="14" t="str">
        <f t="shared" ca="1" si="8"/>
        <v>OK</v>
      </c>
      <c r="Q50" s="14" t="str">
        <f>IF(COUNTIF(Catalogo_Planes_PIMS!$B$5:$B$7,H50)=1,"SI","NO")</f>
        <v>SI</v>
      </c>
      <c r="R50" s="14" t="str">
        <f t="shared" si="9"/>
        <v>OK</v>
      </c>
      <c r="S50" s="15" t="str">
        <f ca="1">IF(P50&lt;&gt;"OK","Revisar campos obligatorios, fechas y prima",IF(R50="DUPLICADO","ID_Solicitud duplicado",IF(Q50="NO","Plan no existe en catálogo",IF(AND(G50&lt;&gt;"",OR(G50&lt;IFERROR(INDEX(Catalogo_Planes_PIMS!$D$5:$D$7,MATCH(H50,Catalogo_Planes_PIMS!$B$5:$B$7,0)),18),G50&gt;IFERROR(INDEX(Catalogo_Planes_PIMS!$E$5:$E$7,MATCH(H50,Catalogo_Planes_PIMS!$B$5:$B$7,0)),65))),"Edad fuera de rango",IF(N50="NO","RUT inválido",IF(OR(J50="",I50&lt;&gt;J50),"Descalce de prima","Sin errores adicionales"))))))</f>
        <v>Sin errores adicionales</v>
      </c>
    </row>
    <row r="51" spans="1:19" x14ac:dyDescent="0.25">
      <c r="A51" s="7" t="s">
        <v>165</v>
      </c>
      <c r="B51" s="8">
        <v>46303</v>
      </c>
      <c r="C51" s="7" t="s">
        <v>34</v>
      </c>
      <c r="D51" s="9" t="s">
        <v>166</v>
      </c>
      <c r="E51" s="9" t="s">
        <v>167</v>
      </c>
      <c r="F51" s="8">
        <v>27197</v>
      </c>
      <c r="G51" s="10">
        <f t="shared" ca="1" si="5"/>
        <v>52</v>
      </c>
      <c r="H51" s="7" t="s">
        <v>25</v>
      </c>
      <c r="I51" s="11">
        <v>18990</v>
      </c>
      <c r="J51" s="11">
        <f>IFERROR(INDEX(Catalogo_Planes_PIMS!$C$5:$C$7,MATCH(H51,Catalogo_Planes_PIMS!$B$5:$B$7,0)),"")</f>
        <v>18990</v>
      </c>
      <c r="K51" s="7" t="str">
        <f ca="1">IF(P51&lt;&gt;"OK","RECHAZADO_DATOS_INCOMPLETOS",IF(R51="DUPLICADO","RECHAZADO_ID_DUPLICADO",IF(Q51="NO","RECHAZADO_PLAN_NO_CATALOGADO",IF(OR(G51="",G51&lt;IFERROR(INDEX(Catalogo_Planes_PIMS!$D$5:$D$7,MATCH(H51,Catalogo_Planes_PIMS!$B$5:$B$7,0)),18),G51&gt;IFERROR(INDEX(Catalogo_Planes_PIMS!$E$5:$E$7,MATCH(H51,Catalogo_Planes_PIMS!$B$5:$B$7,0)),65)),"RECHAZADO_ELEGIBILIDAD",IF(N51="NO","RECHAZADO_RUT_INVALIDO",IF(OR(J51="",I51&lt;&gt;J51),"RECHAZADO_DESCALCE_PRIMA","APROBADO_CARGA_PIMS"))))))</f>
        <v>APROBADO_CARGA_PIMS</v>
      </c>
      <c r="L51" s="7" t="str">
        <f t="shared" ca="1" si="6"/>
        <v>Sin observaciones</v>
      </c>
      <c r="M51" s="12" t="str">
        <f t="shared" si="7"/>
        <v>215359360</v>
      </c>
      <c r="N51" s="13" t="str">
        <f>IF(OR(D51="",ISERROR(FIND("-",TRIM(D51))),MID(TRIM(D51),LEN(TRIM(D51))-1,1)&lt;&gt;"-",LEN(M51)&lt;8,LEN(M51)&gt;9,NOT(ISNUMBER(--LEFT(M51,LEN(M51)-1))),NOT(OR(RIGHT(M51,1)="K",IFERROR(ISNUMBER(--RIGHT(M51,1)),FALSE())))),"NO",IF(RIGHT(M51,1)=MID("0K987654321",MOD(SUMPRODUCT(--MID(RIGHT("00000000"&amp;LEFT(M51,LEN(M51)-1),8),{1,2,3,4,5,6,7,8},1),{3,2,7,6,5,4,3,2}),11)+1,1),"SI","NO"))</f>
        <v>SI</v>
      </c>
      <c r="O51" s="13" t="str">
        <f ca="1">IF(LEFT(K51,9)="RECHAZADO",COUNTIF($K$5:K51,"RECHAZADO*"),"")</f>
        <v/>
      </c>
      <c r="P51" s="14" t="str">
        <f t="shared" ca="1" si="8"/>
        <v>OK</v>
      </c>
      <c r="Q51" s="14" t="str">
        <f>IF(COUNTIF(Catalogo_Planes_PIMS!$B$5:$B$7,H51)=1,"SI","NO")</f>
        <v>SI</v>
      </c>
      <c r="R51" s="14" t="str">
        <f t="shared" si="9"/>
        <v>OK</v>
      </c>
      <c r="S51" s="15" t="str">
        <f ca="1">IF(P51&lt;&gt;"OK","Revisar campos obligatorios, fechas y prima",IF(R51="DUPLICADO","ID_Solicitud duplicado",IF(Q51="NO","Plan no existe en catálogo",IF(AND(G51&lt;&gt;"",OR(G51&lt;IFERROR(INDEX(Catalogo_Planes_PIMS!$D$5:$D$7,MATCH(H51,Catalogo_Planes_PIMS!$B$5:$B$7,0)),18),G51&gt;IFERROR(INDEX(Catalogo_Planes_PIMS!$E$5:$E$7,MATCH(H51,Catalogo_Planes_PIMS!$B$5:$B$7,0)),65))),"Edad fuera de rango",IF(N51="NO","RUT inválido",IF(OR(J51="",I51&lt;&gt;J51),"Descalce de prima","Sin errores adicionales"))))))</f>
        <v>Sin errores adicionales</v>
      </c>
    </row>
    <row r="52" spans="1:19" x14ac:dyDescent="0.25">
      <c r="A52" s="7" t="s">
        <v>168</v>
      </c>
      <c r="B52" s="8">
        <v>46303</v>
      </c>
      <c r="C52" s="7" t="s">
        <v>27</v>
      </c>
      <c r="D52" s="9" t="s">
        <v>169</v>
      </c>
      <c r="E52" s="9" t="s">
        <v>170</v>
      </c>
      <c r="F52" s="8">
        <v>19524</v>
      </c>
      <c r="G52" s="10">
        <f t="shared" ca="1" si="5"/>
        <v>73</v>
      </c>
      <c r="H52" s="7" t="s">
        <v>37</v>
      </c>
      <c r="I52" s="11">
        <v>7990</v>
      </c>
      <c r="J52" s="11">
        <f>IFERROR(INDEX(Catalogo_Planes_PIMS!$C$5:$C$7,MATCH(H52,Catalogo_Planes_PIMS!$B$5:$B$7,0)),"")</f>
        <v>7990</v>
      </c>
      <c r="K52" s="7" t="str">
        <f ca="1">IF(P52&lt;&gt;"OK","RECHAZADO_DATOS_INCOMPLETOS",IF(R52="DUPLICADO","RECHAZADO_ID_DUPLICADO",IF(Q52="NO","RECHAZADO_PLAN_NO_CATALOGADO",IF(OR(G52="",G52&lt;IFERROR(INDEX(Catalogo_Planes_PIMS!$D$5:$D$7,MATCH(H52,Catalogo_Planes_PIMS!$B$5:$B$7,0)),18),G52&gt;IFERROR(INDEX(Catalogo_Planes_PIMS!$E$5:$E$7,MATCH(H52,Catalogo_Planes_PIMS!$B$5:$B$7,0)),65)),"RECHAZADO_ELEGIBILIDAD",IF(N52="NO","RECHAZADO_RUT_INVALIDO",IF(OR(J52="",I52&lt;&gt;J52),"RECHAZADO_DESCALCE_PRIMA","APROBADO_CARGA_PIMS"))))))</f>
        <v>RECHAZADO_ELEGIBILIDAD</v>
      </c>
      <c r="L52" s="7" t="str">
        <f t="shared" ca="1" si="6"/>
        <v>Edad fuera del rango definido en catálogo</v>
      </c>
      <c r="M52" s="12" t="str">
        <f t="shared" si="7"/>
        <v>111800847</v>
      </c>
      <c r="N52" s="13" t="str">
        <f>IF(OR(D52="",ISERROR(FIND("-",TRIM(D52))),MID(TRIM(D52),LEN(TRIM(D52))-1,1)&lt;&gt;"-",LEN(M52)&lt;8,LEN(M52)&gt;9,NOT(ISNUMBER(--LEFT(M52,LEN(M52)-1))),NOT(OR(RIGHT(M52,1)="K",IFERROR(ISNUMBER(--RIGHT(M52,1)),FALSE())))),"NO",IF(RIGHT(M52,1)=MID("0K987654321",MOD(SUMPRODUCT(--MID(RIGHT("00000000"&amp;LEFT(M52,LEN(M52)-1),8),{1,2,3,4,5,6,7,8},1),{3,2,7,6,5,4,3,2}),11)+1,1),"SI","NO"))</f>
        <v>SI</v>
      </c>
      <c r="O52" s="13">
        <f ca="1">IF(LEFT(K52,9)="RECHAZADO",COUNTIF($K$5:K52,"RECHAZADO*"),"")</f>
        <v>20</v>
      </c>
      <c r="P52" s="14" t="str">
        <f t="shared" ca="1" si="8"/>
        <v>OK</v>
      </c>
      <c r="Q52" s="14" t="str">
        <f>IF(COUNTIF(Catalogo_Planes_PIMS!$B$5:$B$7,H52)=1,"SI","NO")</f>
        <v>SI</v>
      </c>
      <c r="R52" s="14" t="str">
        <f t="shared" si="9"/>
        <v>OK</v>
      </c>
      <c r="S52" s="15" t="str">
        <f ca="1">IF(P52&lt;&gt;"OK","Revisar campos obligatorios, fechas y prima",IF(R52="DUPLICADO","ID_Solicitud duplicado",IF(Q52="NO","Plan no existe en catálogo",IF(AND(G52&lt;&gt;"",OR(G52&lt;IFERROR(INDEX(Catalogo_Planes_PIMS!$D$5:$D$7,MATCH(H52,Catalogo_Planes_PIMS!$B$5:$B$7,0)),18),G52&gt;IFERROR(INDEX(Catalogo_Planes_PIMS!$E$5:$E$7,MATCH(H52,Catalogo_Planes_PIMS!$B$5:$B$7,0)),65))),"Edad fuera de rango",IF(N52="NO","RUT inválido",IF(OR(J52="",I52&lt;&gt;J52),"Descalce de prima","Sin errores adicionales"))))))</f>
        <v>Edad fuera de rango</v>
      </c>
    </row>
    <row r="53" spans="1:19" x14ac:dyDescent="0.25">
      <c r="A53" s="7" t="s">
        <v>171</v>
      </c>
      <c r="B53" s="8">
        <v>46303</v>
      </c>
      <c r="C53" s="7" t="s">
        <v>34</v>
      </c>
      <c r="D53" s="9" t="s">
        <v>172</v>
      </c>
      <c r="E53" s="9" t="s">
        <v>173</v>
      </c>
      <c r="F53" s="8">
        <v>26399</v>
      </c>
      <c r="G53" s="10">
        <f t="shared" ca="1" si="5"/>
        <v>54</v>
      </c>
      <c r="H53" s="7" t="s">
        <v>25</v>
      </c>
      <c r="I53" s="11">
        <v>17990</v>
      </c>
      <c r="J53" s="11">
        <f>IFERROR(INDEX(Catalogo_Planes_PIMS!$C$5:$C$7,MATCH(H53,Catalogo_Planes_PIMS!$B$5:$B$7,0)),"")</f>
        <v>18990</v>
      </c>
      <c r="K53" s="7" t="str">
        <f ca="1">IF(P53&lt;&gt;"OK","RECHAZADO_DATOS_INCOMPLETOS",IF(R53="DUPLICADO","RECHAZADO_ID_DUPLICADO",IF(Q53="NO","RECHAZADO_PLAN_NO_CATALOGADO",IF(OR(G53="",G53&lt;IFERROR(INDEX(Catalogo_Planes_PIMS!$D$5:$D$7,MATCH(H53,Catalogo_Planes_PIMS!$B$5:$B$7,0)),18),G53&gt;IFERROR(INDEX(Catalogo_Planes_PIMS!$E$5:$E$7,MATCH(H53,Catalogo_Planes_PIMS!$B$5:$B$7,0)),65)),"RECHAZADO_ELEGIBILIDAD",IF(N53="NO","RECHAZADO_RUT_INVALIDO",IF(OR(J53="",I53&lt;&gt;J53),"RECHAZADO_DESCALCE_PRIMA","APROBADO_CARGA_PIMS"))))))</f>
        <v>RECHAZADO_DESCALCE_PRIMA</v>
      </c>
      <c r="L53" s="7" t="str">
        <f t="shared" ca="1" si="6"/>
        <v>Prima informada no coincide con tarifa oficial PIMS</v>
      </c>
      <c r="M53" s="12" t="str">
        <f t="shared" si="7"/>
        <v>99542586</v>
      </c>
      <c r="N53" s="13" t="str">
        <f>IF(OR(D53="",ISERROR(FIND("-",TRIM(D53))),MID(TRIM(D53),LEN(TRIM(D53))-1,1)&lt;&gt;"-",LEN(M53)&lt;8,LEN(M53)&gt;9,NOT(ISNUMBER(--LEFT(M53,LEN(M53)-1))),NOT(OR(RIGHT(M53,1)="K",IFERROR(ISNUMBER(--RIGHT(M53,1)),FALSE())))),"NO",IF(RIGHT(M53,1)=MID("0K987654321",MOD(SUMPRODUCT(--MID(RIGHT("00000000"&amp;LEFT(M53,LEN(M53)-1),8),{1,2,3,4,5,6,7,8},1),{3,2,7,6,5,4,3,2}),11)+1,1),"SI","NO"))</f>
        <v>SI</v>
      </c>
      <c r="O53" s="13">
        <f ca="1">IF(LEFT(K53,9)="RECHAZADO",COUNTIF($K$5:K53,"RECHAZADO*"),"")</f>
        <v>21</v>
      </c>
      <c r="P53" s="14" t="str">
        <f t="shared" ca="1" si="8"/>
        <v>OK</v>
      </c>
      <c r="Q53" s="14" t="str">
        <f>IF(COUNTIF(Catalogo_Planes_PIMS!$B$5:$B$7,H53)=1,"SI","NO")</f>
        <v>SI</v>
      </c>
      <c r="R53" s="14" t="str">
        <f t="shared" si="9"/>
        <v>OK</v>
      </c>
      <c r="S53" s="15" t="str">
        <f ca="1">IF(P53&lt;&gt;"OK","Revisar campos obligatorios, fechas y prima",IF(R53="DUPLICADO","ID_Solicitud duplicado",IF(Q53="NO","Plan no existe en catálogo",IF(AND(G53&lt;&gt;"",OR(G53&lt;IFERROR(INDEX(Catalogo_Planes_PIMS!$D$5:$D$7,MATCH(H53,Catalogo_Planes_PIMS!$B$5:$B$7,0)),18),G53&gt;IFERROR(INDEX(Catalogo_Planes_PIMS!$E$5:$E$7,MATCH(H53,Catalogo_Planes_PIMS!$B$5:$B$7,0)),65))),"Edad fuera de rango",IF(N53="NO","RUT inválido",IF(OR(J53="",I53&lt;&gt;J53),"Descalce de prima","Sin errores adicionales"))))))</f>
        <v>Descalce de prima</v>
      </c>
    </row>
    <row r="54" spans="1:19" x14ac:dyDescent="0.25">
      <c r="A54" s="7" t="s">
        <v>174</v>
      </c>
      <c r="B54" s="8">
        <v>46303</v>
      </c>
      <c r="C54" s="7" t="s">
        <v>27</v>
      </c>
      <c r="D54" s="9" t="s">
        <v>175</v>
      </c>
      <c r="E54" s="9" t="s">
        <v>176</v>
      </c>
      <c r="F54" s="8">
        <v>31193</v>
      </c>
      <c r="G54" s="10">
        <f t="shared" ca="1" si="5"/>
        <v>41</v>
      </c>
      <c r="H54" s="7" t="s">
        <v>37</v>
      </c>
      <c r="I54" s="11">
        <v>5990</v>
      </c>
      <c r="J54" s="11">
        <f>IFERROR(INDEX(Catalogo_Planes_PIMS!$C$5:$C$7,MATCH(H54,Catalogo_Planes_PIMS!$B$5:$B$7,0)),"")</f>
        <v>7990</v>
      </c>
      <c r="K54" s="7" t="str">
        <f ca="1">IF(P54&lt;&gt;"OK","RECHAZADO_DATOS_INCOMPLETOS",IF(R54="DUPLICADO","RECHAZADO_ID_DUPLICADO",IF(Q54="NO","RECHAZADO_PLAN_NO_CATALOGADO",IF(OR(G54="",G54&lt;IFERROR(INDEX(Catalogo_Planes_PIMS!$D$5:$D$7,MATCH(H54,Catalogo_Planes_PIMS!$B$5:$B$7,0)),18),G54&gt;IFERROR(INDEX(Catalogo_Planes_PIMS!$E$5:$E$7,MATCH(H54,Catalogo_Planes_PIMS!$B$5:$B$7,0)),65)),"RECHAZADO_ELEGIBILIDAD",IF(N54="NO","RECHAZADO_RUT_INVALIDO",IF(OR(J54="",I54&lt;&gt;J54),"RECHAZADO_DESCALCE_PRIMA","APROBADO_CARGA_PIMS"))))))</f>
        <v>RECHAZADO_DESCALCE_PRIMA</v>
      </c>
      <c r="L54" s="7" t="str">
        <f t="shared" ca="1" si="6"/>
        <v>Prima informada no coincide con tarifa oficial PIMS</v>
      </c>
      <c r="M54" s="12" t="str">
        <f t="shared" si="7"/>
        <v>171324084</v>
      </c>
      <c r="N54" s="13" t="str">
        <f>IF(OR(D54="",ISERROR(FIND("-",TRIM(D54))),MID(TRIM(D54),LEN(TRIM(D54))-1,1)&lt;&gt;"-",LEN(M54)&lt;8,LEN(M54)&gt;9,NOT(ISNUMBER(--LEFT(M54,LEN(M54)-1))),NOT(OR(RIGHT(M54,1)="K",IFERROR(ISNUMBER(--RIGHT(M54,1)),FALSE())))),"NO",IF(RIGHT(M54,1)=MID("0K987654321",MOD(SUMPRODUCT(--MID(RIGHT("00000000"&amp;LEFT(M54,LEN(M54)-1),8),{1,2,3,4,5,6,7,8},1),{3,2,7,6,5,4,3,2}),11)+1,1),"SI","NO"))</f>
        <v>SI</v>
      </c>
      <c r="O54" s="13">
        <f ca="1">IF(LEFT(K54,9)="RECHAZADO",COUNTIF($K$5:K54,"RECHAZADO*"),"")</f>
        <v>22</v>
      </c>
      <c r="P54" s="14" t="str">
        <f t="shared" ca="1" si="8"/>
        <v>OK</v>
      </c>
      <c r="Q54" s="14" t="str">
        <f>IF(COUNTIF(Catalogo_Planes_PIMS!$B$5:$B$7,H54)=1,"SI","NO")</f>
        <v>SI</v>
      </c>
      <c r="R54" s="14" t="str">
        <f t="shared" si="9"/>
        <v>OK</v>
      </c>
      <c r="S54" s="15" t="str">
        <f ca="1">IF(P54&lt;&gt;"OK","Revisar campos obligatorios, fechas y prima",IF(R54="DUPLICADO","ID_Solicitud duplicado",IF(Q54="NO","Plan no existe en catálogo",IF(AND(G54&lt;&gt;"",OR(G54&lt;IFERROR(INDEX(Catalogo_Planes_PIMS!$D$5:$D$7,MATCH(H54,Catalogo_Planes_PIMS!$B$5:$B$7,0)),18),G54&gt;IFERROR(INDEX(Catalogo_Planes_PIMS!$E$5:$E$7,MATCH(H54,Catalogo_Planes_PIMS!$B$5:$B$7,0)),65))),"Edad fuera de rango",IF(N54="NO","RUT inválido",IF(OR(J54="",I54&lt;&gt;J54),"Descalce de prima","Sin errores adicionales"))))))</f>
        <v>Descalce de prima</v>
      </c>
    </row>
    <row r="55" spans="1:19" x14ac:dyDescent="0.25">
      <c r="A55" s="7" t="s">
        <v>177</v>
      </c>
      <c r="B55" s="8">
        <v>46303</v>
      </c>
      <c r="C55" s="7" t="s">
        <v>34</v>
      </c>
      <c r="D55" s="9" t="s">
        <v>178</v>
      </c>
      <c r="E55" s="9" t="s">
        <v>179</v>
      </c>
      <c r="F55" s="8">
        <v>26727</v>
      </c>
      <c r="G55" s="10">
        <f t="shared" ca="1" si="5"/>
        <v>53</v>
      </c>
      <c r="H55" s="7" t="s">
        <v>37</v>
      </c>
      <c r="I55" s="11">
        <v>7990</v>
      </c>
      <c r="J55" s="11">
        <f>IFERROR(INDEX(Catalogo_Planes_PIMS!$C$5:$C$7,MATCH(H55,Catalogo_Planes_PIMS!$B$5:$B$7,0)),"")</f>
        <v>7990</v>
      </c>
      <c r="K55" s="7" t="str">
        <f ca="1">IF(P55&lt;&gt;"OK","RECHAZADO_DATOS_INCOMPLETOS",IF(R55="DUPLICADO","RECHAZADO_ID_DUPLICADO",IF(Q55="NO","RECHAZADO_PLAN_NO_CATALOGADO",IF(OR(G55="",G55&lt;IFERROR(INDEX(Catalogo_Planes_PIMS!$D$5:$D$7,MATCH(H55,Catalogo_Planes_PIMS!$B$5:$B$7,0)),18),G55&gt;IFERROR(INDEX(Catalogo_Planes_PIMS!$E$5:$E$7,MATCH(H55,Catalogo_Planes_PIMS!$B$5:$B$7,0)),65)),"RECHAZADO_ELEGIBILIDAD",IF(N55="NO","RECHAZADO_RUT_INVALIDO",IF(OR(J55="",I55&lt;&gt;J55),"RECHAZADO_DESCALCE_PRIMA","APROBADO_CARGA_PIMS"))))))</f>
        <v>APROBADO_CARGA_PIMS</v>
      </c>
      <c r="L55" s="7" t="str">
        <f t="shared" ca="1" si="6"/>
        <v>Sin observaciones</v>
      </c>
      <c r="M55" s="12" t="str">
        <f t="shared" si="7"/>
        <v>194033281</v>
      </c>
      <c r="N55" s="13" t="str">
        <f>IF(OR(D55="",ISERROR(FIND("-",TRIM(D55))),MID(TRIM(D55),LEN(TRIM(D55))-1,1)&lt;&gt;"-",LEN(M55)&lt;8,LEN(M55)&gt;9,NOT(ISNUMBER(--LEFT(M55,LEN(M55)-1))),NOT(OR(RIGHT(M55,1)="K",IFERROR(ISNUMBER(--RIGHT(M55,1)),FALSE())))),"NO",IF(RIGHT(M55,1)=MID("0K987654321",MOD(SUMPRODUCT(--MID(RIGHT("00000000"&amp;LEFT(M55,LEN(M55)-1),8),{1,2,3,4,5,6,7,8},1),{3,2,7,6,5,4,3,2}),11)+1,1),"SI","NO"))</f>
        <v>SI</v>
      </c>
      <c r="O55" s="13" t="str">
        <f ca="1">IF(LEFT(K55,9)="RECHAZADO",COUNTIF($K$5:K55,"RECHAZADO*"),"")</f>
        <v/>
      </c>
      <c r="P55" s="14" t="str">
        <f t="shared" ca="1" si="8"/>
        <v>OK</v>
      </c>
      <c r="Q55" s="14" t="str">
        <f>IF(COUNTIF(Catalogo_Planes_PIMS!$B$5:$B$7,H55)=1,"SI","NO")</f>
        <v>SI</v>
      </c>
      <c r="R55" s="14" t="str">
        <f t="shared" si="9"/>
        <v>OK</v>
      </c>
      <c r="S55" s="15" t="str">
        <f ca="1">IF(P55&lt;&gt;"OK","Revisar campos obligatorios, fechas y prima",IF(R55="DUPLICADO","ID_Solicitud duplicado",IF(Q55="NO","Plan no existe en catálogo",IF(AND(G55&lt;&gt;"",OR(G55&lt;IFERROR(INDEX(Catalogo_Planes_PIMS!$D$5:$D$7,MATCH(H55,Catalogo_Planes_PIMS!$B$5:$B$7,0)),18),G55&gt;IFERROR(INDEX(Catalogo_Planes_PIMS!$E$5:$E$7,MATCH(H55,Catalogo_Planes_PIMS!$B$5:$B$7,0)),65))),"Edad fuera de rango",IF(N55="NO","RUT inválido",IF(OR(J55="",I55&lt;&gt;J55),"Descalce de prima","Sin errores adicionales"))))))</f>
        <v>Sin errores adicionales</v>
      </c>
    </row>
    <row r="56" spans="1:19" x14ac:dyDescent="0.25">
      <c r="A56" s="7" t="s">
        <v>180</v>
      </c>
      <c r="B56" s="8">
        <v>46303</v>
      </c>
      <c r="C56" s="7" t="s">
        <v>27</v>
      </c>
      <c r="D56" s="9" t="s">
        <v>181</v>
      </c>
      <c r="E56" s="9" t="s">
        <v>182</v>
      </c>
      <c r="F56" s="8">
        <v>27409</v>
      </c>
      <c r="G56" s="10">
        <f t="shared" ca="1" si="5"/>
        <v>51</v>
      </c>
      <c r="H56" s="7" t="s">
        <v>25</v>
      </c>
      <c r="I56" s="11">
        <v>18990</v>
      </c>
      <c r="J56" s="11">
        <f>IFERROR(INDEX(Catalogo_Planes_PIMS!$C$5:$C$7,MATCH(H56,Catalogo_Planes_PIMS!$B$5:$B$7,0)),"")</f>
        <v>18990</v>
      </c>
      <c r="K56" s="7" t="str">
        <f ca="1">IF(P56&lt;&gt;"OK","RECHAZADO_DATOS_INCOMPLETOS",IF(R56="DUPLICADO","RECHAZADO_ID_DUPLICADO",IF(Q56="NO","RECHAZADO_PLAN_NO_CATALOGADO",IF(OR(G56="",G56&lt;IFERROR(INDEX(Catalogo_Planes_PIMS!$D$5:$D$7,MATCH(H56,Catalogo_Planes_PIMS!$B$5:$B$7,0)),18),G56&gt;IFERROR(INDEX(Catalogo_Planes_PIMS!$E$5:$E$7,MATCH(H56,Catalogo_Planes_PIMS!$B$5:$B$7,0)),65)),"RECHAZADO_ELEGIBILIDAD",IF(N56="NO","RECHAZADO_RUT_INVALIDO",IF(OR(J56="",I56&lt;&gt;J56),"RECHAZADO_DESCALCE_PRIMA","APROBADO_CARGA_PIMS"))))))</f>
        <v>APROBADO_CARGA_PIMS</v>
      </c>
      <c r="L56" s="7" t="str">
        <f t="shared" ca="1" si="6"/>
        <v>Sin observaciones</v>
      </c>
      <c r="M56" s="12" t="str">
        <f t="shared" si="7"/>
        <v>243345170</v>
      </c>
      <c r="N56" s="13" t="str">
        <f>IF(OR(D56="",ISERROR(FIND("-",TRIM(D56))),MID(TRIM(D56),LEN(TRIM(D56))-1,1)&lt;&gt;"-",LEN(M56)&lt;8,LEN(M56)&gt;9,NOT(ISNUMBER(--LEFT(M56,LEN(M56)-1))),NOT(OR(RIGHT(M56,1)="K",IFERROR(ISNUMBER(--RIGHT(M56,1)),FALSE())))),"NO",IF(RIGHT(M56,1)=MID("0K987654321",MOD(SUMPRODUCT(--MID(RIGHT("00000000"&amp;LEFT(M56,LEN(M56)-1),8),{1,2,3,4,5,6,7,8},1),{3,2,7,6,5,4,3,2}),11)+1,1),"SI","NO"))</f>
        <v>SI</v>
      </c>
      <c r="O56" s="13" t="str">
        <f ca="1">IF(LEFT(K56,9)="RECHAZADO",COUNTIF($K$5:K56,"RECHAZADO*"),"")</f>
        <v/>
      </c>
      <c r="P56" s="14" t="str">
        <f t="shared" ca="1" si="8"/>
        <v>OK</v>
      </c>
      <c r="Q56" s="14" t="str">
        <f>IF(COUNTIF(Catalogo_Planes_PIMS!$B$5:$B$7,H56)=1,"SI","NO")</f>
        <v>SI</v>
      </c>
      <c r="R56" s="14" t="str">
        <f t="shared" si="9"/>
        <v>OK</v>
      </c>
      <c r="S56" s="15" t="str">
        <f ca="1">IF(P56&lt;&gt;"OK","Revisar campos obligatorios, fechas y prima",IF(R56="DUPLICADO","ID_Solicitud duplicado",IF(Q56="NO","Plan no existe en catálogo",IF(AND(G56&lt;&gt;"",OR(G56&lt;IFERROR(INDEX(Catalogo_Planes_PIMS!$D$5:$D$7,MATCH(H56,Catalogo_Planes_PIMS!$B$5:$B$7,0)),18),G56&gt;IFERROR(INDEX(Catalogo_Planes_PIMS!$E$5:$E$7,MATCH(H56,Catalogo_Planes_PIMS!$B$5:$B$7,0)),65))),"Edad fuera de rango",IF(N56="NO","RUT inválido",IF(OR(J56="",I56&lt;&gt;J56),"Descalce de prima","Sin errores adicionales"))))))</f>
        <v>Sin errores adicionales</v>
      </c>
    </row>
    <row r="57" spans="1:19" x14ac:dyDescent="0.25">
      <c r="A57" s="7" t="s">
        <v>183</v>
      </c>
      <c r="B57" s="8">
        <v>46303</v>
      </c>
      <c r="C57" s="7" t="s">
        <v>34</v>
      </c>
      <c r="D57" s="9" t="s">
        <v>184</v>
      </c>
      <c r="E57" s="9" t="s">
        <v>185</v>
      </c>
      <c r="F57" s="8">
        <v>27823</v>
      </c>
      <c r="G57" s="10">
        <f t="shared" ca="1" si="5"/>
        <v>50</v>
      </c>
      <c r="H57" s="7" t="s">
        <v>25</v>
      </c>
      <c r="I57" s="11">
        <v>18990</v>
      </c>
      <c r="J57" s="11">
        <f>IFERROR(INDEX(Catalogo_Planes_PIMS!$C$5:$C$7,MATCH(H57,Catalogo_Planes_PIMS!$B$5:$B$7,0)),"")</f>
        <v>18990</v>
      </c>
      <c r="K57" s="7" t="str">
        <f ca="1">IF(P57&lt;&gt;"OK","RECHAZADO_DATOS_INCOMPLETOS",IF(R57="DUPLICADO","RECHAZADO_ID_DUPLICADO",IF(Q57="NO","RECHAZADO_PLAN_NO_CATALOGADO",IF(OR(G57="",G57&lt;IFERROR(INDEX(Catalogo_Planes_PIMS!$D$5:$D$7,MATCH(H57,Catalogo_Planes_PIMS!$B$5:$B$7,0)),18),G57&gt;IFERROR(INDEX(Catalogo_Planes_PIMS!$E$5:$E$7,MATCH(H57,Catalogo_Planes_PIMS!$B$5:$B$7,0)),65)),"RECHAZADO_ELEGIBILIDAD",IF(N57="NO","RECHAZADO_RUT_INVALIDO",IF(OR(J57="",I57&lt;&gt;J57),"RECHAZADO_DESCALCE_PRIMA","APROBADO_CARGA_PIMS"))))))</f>
        <v>RECHAZADO_RUT_INVALIDO</v>
      </c>
      <c r="L57" s="7" t="str">
        <f t="shared" ca="1" si="6"/>
        <v>RUT con formato o dígito verificador inválido</v>
      </c>
      <c r="M57" s="12" t="str">
        <f t="shared" si="7"/>
        <v>118038927</v>
      </c>
      <c r="N57" s="13" t="str">
        <f>IF(OR(D57="",ISERROR(FIND("-",TRIM(D57))),MID(TRIM(D57),LEN(TRIM(D57))-1,1)&lt;&gt;"-",LEN(M57)&lt;8,LEN(M57)&gt;9,NOT(ISNUMBER(--LEFT(M57,LEN(M57)-1))),NOT(OR(RIGHT(M57,1)="K",IFERROR(ISNUMBER(--RIGHT(M57,1)),FALSE())))),"NO",IF(RIGHT(M57,1)=MID("0K987654321",MOD(SUMPRODUCT(--MID(RIGHT("00000000"&amp;LEFT(M57,LEN(M57)-1),8),{1,2,3,4,5,6,7,8},1),{3,2,7,6,5,4,3,2}),11)+1,1),"SI","NO"))</f>
        <v>NO</v>
      </c>
      <c r="O57" s="13">
        <f ca="1">IF(LEFT(K57,9)="RECHAZADO",COUNTIF($K$5:K57,"RECHAZADO*"),"")</f>
        <v>23</v>
      </c>
      <c r="P57" s="14" t="str">
        <f t="shared" ca="1" si="8"/>
        <v>OK</v>
      </c>
      <c r="Q57" s="14" t="str">
        <f>IF(COUNTIF(Catalogo_Planes_PIMS!$B$5:$B$7,H57)=1,"SI","NO")</f>
        <v>SI</v>
      </c>
      <c r="R57" s="14" t="str">
        <f t="shared" si="9"/>
        <v>OK</v>
      </c>
      <c r="S57" s="15" t="str">
        <f ca="1">IF(P57&lt;&gt;"OK","Revisar campos obligatorios, fechas y prima",IF(R57="DUPLICADO","ID_Solicitud duplicado",IF(Q57="NO","Plan no existe en catálogo",IF(AND(G57&lt;&gt;"",OR(G57&lt;IFERROR(INDEX(Catalogo_Planes_PIMS!$D$5:$D$7,MATCH(H57,Catalogo_Planes_PIMS!$B$5:$B$7,0)),18),G57&gt;IFERROR(INDEX(Catalogo_Planes_PIMS!$E$5:$E$7,MATCH(H57,Catalogo_Planes_PIMS!$B$5:$B$7,0)),65))),"Edad fuera de rango",IF(N57="NO","RUT inválido",IF(OR(J57="",I57&lt;&gt;J57),"Descalce de prima","Sin errores adicionales"))))))</f>
        <v>RUT inválido</v>
      </c>
    </row>
    <row r="58" spans="1:19" x14ac:dyDescent="0.25">
      <c r="A58" s="7" t="s">
        <v>186</v>
      </c>
      <c r="B58" s="8">
        <v>46303</v>
      </c>
      <c r="C58" s="7" t="s">
        <v>34</v>
      </c>
      <c r="D58" s="9" t="s">
        <v>187</v>
      </c>
      <c r="E58" s="9" t="s">
        <v>188</v>
      </c>
      <c r="F58" s="8">
        <v>27784</v>
      </c>
      <c r="G58" s="10">
        <f t="shared" ca="1" si="5"/>
        <v>50</v>
      </c>
      <c r="H58" s="7" t="s">
        <v>37</v>
      </c>
      <c r="I58" s="11">
        <v>7990</v>
      </c>
      <c r="J58" s="11">
        <f>IFERROR(INDEX(Catalogo_Planes_PIMS!$C$5:$C$7,MATCH(H58,Catalogo_Planes_PIMS!$B$5:$B$7,0)),"")</f>
        <v>7990</v>
      </c>
      <c r="K58" s="7" t="str">
        <f ca="1">IF(P58&lt;&gt;"OK","RECHAZADO_DATOS_INCOMPLETOS",IF(R58="DUPLICADO","RECHAZADO_ID_DUPLICADO",IF(Q58="NO","RECHAZADO_PLAN_NO_CATALOGADO",IF(OR(G58="",G58&lt;IFERROR(INDEX(Catalogo_Planes_PIMS!$D$5:$D$7,MATCH(H58,Catalogo_Planes_PIMS!$B$5:$B$7,0)),18),G58&gt;IFERROR(INDEX(Catalogo_Planes_PIMS!$E$5:$E$7,MATCH(H58,Catalogo_Planes_PIMS!$B$5:$B$7,0)),65)),"RECHAZADO_ELEGIBILIDAD",IF(N58="NO","RECHAZADO_RUT_INVALIDO",IF(OR(J58="",I58&lt;&gt;J58),"RECHAZADO_DESCALCE_PRIMA","APROBADO_CARGA_PIMS"))))))</f>
        <v>APROBADO_CARGA_PIMS</v>
      </c>
      <c r="L58" s="7" t="str">
        <f t="shared" ca="1" si="6"/>
        <v>Sin observaciones</v>
      </c>
      <c r="M58" s="12" t="str">
        <f t="shared" si="7"/>
        <v>222040299</v>
      </c>
      <c r="N58" s="13" t="str">
        <f>IF(OR(D58="",ISERROR(FIND("-",TRIM(D58))),MID(TRIM(D58),LEN(TRIM(D58))-1,1)&lt;&gt;"-",LEN(M58)&lt;8,LEN(M58)&gt;9,NOT(ISNUMBER(--LEFT(M58,LEN(M58)-1))),NOT(OR(RIGHT(M58,1)="K",IFERROR(ISNUMBER(--RIGHT(M58,1)),FALSE())))),"NO",IF(RIGHT(M58,1)=MID("0K987654321",MOD(SUMPRODUCT(--MID(RIGHT("00000000"&amp;LEFT(M58,LEN(M58)-1),8),{1,2,3,4,5,6,7,8},1),{3,2,7,6,5,4,3,2}),11)+1,1),"SI","NO"))</f>
        <v>SI</v>
      </c>
      <c r="O58" s="13" t="str">
        <f ca="1">IF(LEFT(K58,9)="RECHAZADO",COUNTIF($K$5:K58,"RECHAZADO*"),"")</f>
        <v/>
      </c>
      <c r="P58" s="14" t="str">
        <f t="shared" ca="1" si="8"/>
        <v>OK</v>
      </c>
      <c r="Q58" s="14" t="str">
        <f>IF(COUNTIF(Catalogo_Planes_PIMS!$B$5:$B$7,H58)=1,"SI","NO")</f>
        <v>SI</v>
      </c>
      <c r="R58" s="14" t="str">
        <f t="shared" si="9"/>
        <v>OK</v>
      </c>
      <c r="S58" s="15" t="str">
        <f ca="1">IF(P58&lt;&gt;"OK","Revisar campos obligatorios, fechas y prima",IF(R58="DUPLICADO","ID_Solicitud duplicado",IF(Q58="NO","Plan no existe en catálogo",IF(AND(G58&lt;&gt;"",OR(G58&lt;IFERROR(INDEX(Catalogo_Planes_PIMS!$D$5:$D$7,MATCH(H58,Catalogo_Planes_PIMS!$B$5:$B$7,0)),18),G58&gt;IFERROR(INDEX(Catalogo_Planes_PIMS!$E$5:$E$7,MATCH(H58,Catalogo_Planes_PIMS!$B$5:$B$7,0)),65))),"Edad fuera de rango",IF(N58="NO","RUT inválido",IF(OR(J58="",I58&lt;&gt;J58),"Descalce de prima","Sin errores adicionales"))))))</f>
        <v>Sin errores adicionales</v>
      </c>
    </row>
    <row r="59" spans="1:19" x14ac:dyDescent="0.25">
      <c r="A59" s="7" t="s">
        <v>189</v>
      </c>
      <c r="B59" s="8">
        <v>46303</v>
      </c>
      <c r="C59" s="7" t="s">
        <v>22</v>
      </c>
      <c r="D59" s="9" t="s">
        <v>190</v>
      </c>
      <c r="E59" s="9" t="s">
        <v>191</v>
      </c>
      <c r="F59" s="8">
        <v>41000</v>
      </c>
      <c r="G59" s="10">
        <f t="shared" ca="1" si="5"/>
        <v>14</v>
      </c>
      <c r="H59" s="7" t="s">
        <v>44</v>
      </c>
      <c r="I59" s="11">
        <v>12990</v>
      </c>
      <c r="J59" s="11">
        <f>IFERROR(INDEX(Catalogo_Planes_PIMS!$C$5:$C$7,MATCH(H59,Catalogo_Planes_PIMS!$B$5:$B$7,0)),"")</f>
        <v>12990</v>
      </c>
      <c r="K59" s="7" t="str">
        <f ca="1">IF(P59&lt;&gt;"OK","RECHAZADO_DATOS_INCOMPLETOS",IF(R59="DUPLICADO","RECHAZADO_ID_DUPLICADO",IF(Q59="NO","RECHAZADO_PLAN_NO_CATALOGADO",IF(OR(G59="",G59&lt;IFERROR(INDEX(Catalogo_Planes_PIMS!$D$5:$D$7,MATCH(H59,Catalogo_Planes_PIMS!$B$5:$B$7,0)),18),G59&gt;IFERROR(INDEX(Catalogo_Planes_PIMS!$E$5:$E$7,MATCH(H59,Catalogo_Planes_PIMS!$B$5:$B$7,0)),65)),"RECHAZADO_ELEGIBILIDAD",IF(N59="NO","RECHAZADO_RUT_INVALIDO",IF(OR(J59="",I59&lt;&gt;J59),"RECHAZADO_DESCALCE_PRIMA","APROBADO_CARGA_PIMS"))))))</f>
        <v>RECHAZADO_ELEGIBILIDAD</v>
      </c>
      <c r="L59" s="7" t="str">
        <f t="shared" ca="1" si="6"/>
        <v>Edad fuera del rango definido en catálogo</v>
      </c>
      <c r="M59" s="12" t="str">
        <f t="shared" si="7"/>
        <v>65968681</v>
      </c>
      <c r="N59" s="13" t="str">
        <f>IF(OR(D59="",ISERROR(FIND("-",TRIM(D59))),MID(TRIM(D59),LEN(TRIM(D59))-1,1)&lt;&gt;"-",LEN(M59)&lt;8,LEN(M59)&gt;9,NOT(ISNUMBER(--LEFT(M59,LEN(M59)-1))),NOT(OR(RIGHT(M59,1)="K",IFERROR(ISNUMBER(--RIGHT(M59,1)),FALSE())))),"NO",IF(RIGHT(M59,1)=MID("0K987654321",MOD(SUMPRODUCT(--MID(RIGHT("00000000"&amp;LEFT(M59,LEN(M59)-1),8),{1,2,3,4,5,6,7,8},1),{3,2,7,6,5,4,3,2}),11)+1,1),"SI","NO"))</f>
        <v>SI</v>
      </c>
      <c r="O59" s="13">
        <f ca="1">IF(LEFT(K59,9)="RECHAZADO",COUNTIF($K$5:K59,"RECHAZADO*"),"")</f>
        <v>24</v>
      </c>
      <c r="P59" s="14" t="str">
        <f t="shared" ca="1" si="8"/>
        <v>OK</v>
      </c>
      <c r="Q59" s="14" t="str">
        <f>IF(COUNTIF(Catalogo_Planes_PIMS!$B$5:$B$7,H59)=1,"SI","NO")</f>
        <v>SI</v>
      </c>
      <c r="R59" s="14" t="str">
        <f t="shared" si="9"/>
        <v>OK</v>
      </c>
      <c r="S59" s="15" t="str">
        <f ca="1">IF(P59&lt;&gt;"OK","Revisar campos obligatorios, fechas y prima",IF(R59="DUPLICADO","ID_Solicitud duplicado",IF(Q59="NO","Plan no existe en catálogo",IF(AND(G59&lt;&gt;"",OR(G59&lt;IFERROR(INDEX(Catalogo_Planes_PIMS!$D$5:$D$7,MATCH(H59,Catalogo_Planes_PIMS!$B$5:$B$7,0)),18),G59&gt;IFERROR(INDEX(Catalogo_Planes_PIMS!$E$5:$E$7,MATCH(H59,Catalogo_Planes_PIMS!$B$5:$B$7,0)),65))),"Edad fuera de rango",IF(N59="NO","RUT inválido",IF(OR(J59="",I59&lt;&gt;J59),"Descalce de prima","Sin errores adicionales"))))))</f>
        <v>Edad fuera de rango</v>
      </c>
    </row>
    <row r="60" spans="1:19" x14ac:dyDescent="0.25">
      <c r="A60" s="7" t="s">
        <v>192</v>
      </c>
      <c r="B60" s="8">
        <v>46303</v>
      </c>
      <c r="C60" s="7" t="s">
        <v>27</v>
      </c>
      <c r="D60" s="9" t="s">
        <v>193</v>
      </c>
      <c r="E60" s="9" t="s">
        <v>194</v>
      </c>
      <c r="F60" s="8">
        <v>29082</v>
      </c>
      <c r="G60" s="10">
        <f t="shared" ca="1" si="5"/>
        <v>47</v>
      </c>
      <c r="H60" s="7" t="s">
        <v>37</v>
      </c>
      <c r="I60" s="11">
        <v>7990</v>
      </c>
      <c r="J60" s="11">
        <f>IFERROR(INDEX(Catalogo_Planes_PIMS!$C$5:$C$7,MATCH(H60,Catalogo_Planes_PIMS!$B$5:$B$7,0)),"")</f>
        <v>7990</v>
      </c>
      <c r="K60" s="7" t="str">
        <f ca="1">IF(P60&lt;&gt;"OK","RECHAZADO_DATOS_INCOMPLETOS",IF(R60="DUPLICADO","RECHAZADO_ID_DUPLICADO",IF(Q60="NO","RECHAZADO_PLAN_NO_CATALOGADO",IF(OR(G60="",G60&lt;IFERROR(INDEX(Catalogo_Planes_PIMS!$D$5:$D$7,MATCH(H60,Catalogo_Planes_PIMS!$B$5:$B$7,0)),18),G60&gt;IFERROR(INDEX(Catalogo_Planes_PIMS!$E$5:$E$7,MATCH(H60,Catalogo_Planes_PIMS!$B$5:$B$7,0)),65)),"RECHAZADO_ELEGIBILIDAD",IF(N60="NO","RECHAZADO_RUT_INVALIDO",IF(OR(J60="",I60&lt;&gt;J60),"RECHAZADO_DESCALCE_PRIMA","APROBADO_CARGA_PIMS"))))))</f>
        <v>APROBADO_CARGA_PIMS</v>
      </c>
      <c r="L60" s="7" t="str">
        <f t="shared" ca="1" si="6"/>
        <v>Sin observaciones</v>
      </c>
      <c r="M60" s="12" t="str">
        <f t="shared" si="7"/>
        <v>122965767</v>
      </c>
      <c r="N60" s="13" t="str">
        <f>IF(OR(D60="",ISERROR(FIND("-",TRIM(D60))),MID(TRIM(D60),LEN(TRIM(D60))-1,1)&lt;&gt;"-",LEN(M60)&lt;8,LEN(M60)&gt;9,NOT(ISNUMBER(--LEFT(M60,LEN(M60)-1))),NOT(OR(RIGHT(M60,1)="K",IFERROR(ISNUMBER(--RIGHT(M60,1)),FALSE())))),"NO",IF(RIGHT(M60,1)=MID("0K987654321",MOD(SUMPRODUCT(--MID(RIGHT("00000000"&amp;LEFT(M60,LEN(M60)-1),8),{1,2,3,4,5,6,7,8},1),{3,2,7,6,5,4,3,2}),11)+1,1),"SI","NO"))</f>
        <v>SI</v>
      </c>
      <c r="O60" s="13" t="str">
        <f ca="1">IF(LEFT(K60,9)="RECHAZADO",COUNTIF($K$5:K60,"RECHAZADO*"),"")</f>
        <v/>
      </c>
      <c r="P60" s="14" t="str">
        <f t="shared" ca="1" si="8"/>
        <v>OK</v>
      </c>
      <c r="Q60" s="14" t="str">
        <f>IF(COUNTIF(Catalogo_Planes_PIMS!$B$5:$B$7,H60)=1,"SI","NO")</f>
        <v>SI</v>
      </c>
      <c r="R60" s="14" t="str">
        <f t="shared" si="9"/>
        <v>OK</v>
      </c>
      <c r="S60" s="15" t="str">
        <f ca="1">IF(P60&lt;&gt;"OK","Revisar campos obligatorios, fechas y prima",IF(R60="DUPLICADO","ID_Solicitud duplicado",IF(Q60="NO","Plan no existe en catálogo",IF(AND(G60&lt;&gt;"",OR(G60&lt;IFERROR(INDEX(Catalogo_Planes_PIMS!$D$5:$D$7,MATCH(H60,Catalogo_Planes_PIMS!$B$5:$B$7,0)),18),G60&gt;IFERROR(INDEX(Catalogo_Planes_PIMS!$E$5:$E$7,MATCH(H60,Catalogo_Planes_PIMS!$B$5:$B$7,0)),65))),"Edad fuera de rango",IF(N60="NO","RUT inválido",IF(OR(J60="",I60&lt;&gt;J60),"Descalce de prima","Sin errores adicionales"))))))</f>
        <v>Sin errores adicionales</v>
      </c>
    </row>
    <row r="61" spans="1:19" x14ac:dyDescent="0.25">
      <c r="A61" s="7" t="s">
        <v>195</v>
      </c>
      <c r="B61" s="8">
        <v>46303</v>
      </c>
      <c r="C61" s="7" t="s">
        <v>27</v>
      </c>
      <c r="D61" s="9" t="s">
        <v>196</v>
      </c>
      <c r="E61" s="9" t="s">
        <v>197</v>
      </c>
      <c r="F61" s="8">
        <v>26695</v>
      </c>
      <c r="G61" s="10">
        <f t="shared" ca="1" si="5"/>
        <v>53</v>
      </c>
      <c r="H61" s="7" t="s">
        <v>25</v>
      </c>
      <c r="I61" s="11">
        <v>18990</v>
      </c>
      <c r="J61" s="11">
        <f>IFERROR(INDEX(Catalogo_Planes_PIMS!$C$5:$C$7,MATCH(H61,Catalogo_Planes_PIMS!$B$5:$B$7,0)),"")</f>
        <v>18990</v>
      </c>
      <c r="K61" s="7" t="str">
        <f ca="1">IF(P61&lt;&gt;"OK","RECHAZADO_DATOS_INCOMPLETOS",IF(R61="DUPLICADO","RECHAZADO_ID_DUPLICADO",IF(Q61="NO","RECHAZADO_PLAN_NO_CATALOGADO",IF(OR(G61="",G61&lt;IFERROR(INDEX(Catalogo_Planes_PIMS!$D$5:$D$7,MATCH(H61,Catalogo_Planes_PIMS!$B$5:$B$7,0)),18),G61&gt;IFERROR(INDEX(Catalogo_Planes_PIMS!$E$5:$E$7,MATCH(H61,Catalogo_Planes_PIMS!$B$5:$B$7,0)),65)),"RECHAZADO_ELEGIBILIDAD",IF(N61="NO","RECHAZADO_RUT_INVALIDO",IF(OR(J61="",I61&lt;&gt;J61),"RECHAZADO_DESCALCE_PRIMA","APROBADO_CARGA_PIMS"))))))</f>
        <v>APROBADO_CARGA_PIMS</v>
      </c>
      <c r="L61" s="7" t="str">
        <f t="shared" ca="1" si="6"/>
        <v>Sin observaciones</v>
      </c>
      <c r="M61" s="12" t="str">
        <f t="shared" si="7"/>
        <v>129246596</v>
      </c>
      <c r="N61" s="13" t="str">
        <f>IF(OR(D61="",ISERROR(FIND("-",TRIM(D61))),MID(TRIM(D61),LEN(TRIM(D61))-1,1)&lt;&gt;"-",LEN(M61)&lt;8,LEN(M61)&gt;9,NOT(ISNUMBER(--LEFT(M61,LEN(M61)-1))),NOT(OR(RIGHT(M61,1)="K",IFERROR(ISNUMBER(--RIGHT(M61,1)),FALSE())))),"NO",IF(RIGHT(M61,1)=MID("0K987654321",MOD(SUMPRODUCT(--MID(RIGHT("00000000"&amp;LEFT(M61,LEN(M61)-1),8),{1,2,3,4,5,6,7,8},1),{3,2,7,6,5,4,3,2}),11)+1,1),"SI","NO"))</f>
        <v>SI</v>
      </c>
      <c r="O61" s="13" t="str">
        <f ca="1">IF(LEFT(K61,9)="RECHAZADO",COUNTIF($K$5:K61,"RECHAZADO*"),"")</f>
        <v/>
      </c>
      <c r="P61" s="14" t="str">
        <f t="shared" ca="1" si="8"/>
        <v>OK</v>
      </c>
      <c r="Q61" s="14" t="str">
        <f>IF(COUNTIF(Catalogo_Planes_PIMS!$B$5:$B$7,H61)=1,"SI","NO")</f>
        <v>SI</v>
      </c>
      <c r="R61" s="14" t="str">
        <f t="shared" si="9"/>
        <v>OK</v>
      </c>
      <c r="S61" s="15" t="str">
        <f ca="1">IF(P61&lt;&gt;"OK","Revisar campos obligatorios, fechas y prima",IF(R61="DUPLICADO","ID_Solicitud duplicado",IF(Q61="NO","Plan no existe en catálogo",IF(AND(G61&lt;&gt;"",OR(G61&lt;IFERROR(INDEX(Catalogo_Planes_PIMS!$D$5:$D$7,MATCH(H61,Catalogo_Planes_PIMS!$B$5:$B$7,0)),18),G61&gt;IFERROR(INDEX(Catalogo_Planes_PIMS!$E$5:$E$7,MATCH(H61,Catalogo_Planes_PIMS!$B$5:$B$7,0)),65))),"Edad fuera de rango",IF(N61="NO","RUT inválido",IF(OR(J61="",I61&lt;&gt;J61),"Descalce de prima","Sin errores adicionales"))))))</f>
        <v>Sin errores adicionales</v>
      </c>
    </row>
    <row r="62" spans="1:19" x14ac:dyDescent="0.25">
      <c r="A62" s="7" t="s">
        <v>198</v>
      </c>
      <c r="B62" s="8">
        <v>46303</v>
      </c>
      <c r="C62" s="7" t="s">
        <v>34</v>
      </c>
      <c r="D62" s="9" t="s">
        <v>199</v>
      </c>
      <c r="E62" s="9" t="s">
        <v>200</v>
      </c>
      <c r="F62" s="8">
        <v>40535</v>
      </c>
      <c r="G62" s="10">
        <f t="shared" ca="1" si="5"/>
        <v>15</v>
      </c>
      <c r="H62" s="7" t="s">
        <v>37</v>
      </c>
      <c r="I62" s="11">
        <v>7990</v>
      </c>
      <c r="J62" s="11">
        <f>IFERROR(INDEX(Catalogo_Planes_PIMS!$C$5:$C$7,MATCH(H62,Catalogo_Planes_PIMS!$B$5:$B$7,0)),"")</f>
        <v>7990</v>
      </c>
      <c r="K62" s="7" t="str">
        <f ca="1">IF(P62&lt;&gt;"OK","RECHAZADO_DATOS_INCOMPLETOS",IF(R62="DUPLICADO","RECHAZADO_ID_DUPLICADO",IF(Q62="NO","RECHAZADO_PLAN_NO_CATALOGADO",IF(OR(G62="",G62&lt;IFERROR(INDEX(Catalogo_Planes_PIMS!$D$5:$D$7,MATCH(H62,Catalogo_Planes_PIMS!$B$5:$B$7,0)),18),G62&gt;IFERROR(INDEX(Catalogo_Planes_PIMS!$E$5:$E$7,MATCH(H62,Catalogo_Planes_PIMS!$B$5:$B$7,0)),65)),"RECHAZADO_ELEGIBILIDAD",IF(N62="NO","RECHAZADO_RUT_INVALIDO",IF(OR(J62="",I62&lt;&gt;J62),"RECHAZADO_DESCALCE_PRIMA","APROBADO_CARGA_PIMS"))))))</f>
        <v>RECHAZADO_ELEGIBILIDAD</v>
      </c>
      <c r="L62" s="7" t="str">
        <f t="shared" ca="1" si="6"/>
        <v>Edad fuera del rango definido en catálogo</v>
      </c>
      <c r="M62" s="12" t="str">
        <f t="shared" si="7"/>
        <v>104712142</v>
      </c>
      <c r="N62" s="13" t="str">
        <f>IF(OR(D62="",ISERROR(FIND("-",TRIM(D62))),MID(TRIM(D62),LEN(TRIM(D62))-1,1)&lt;&gt;"-",LEN(M62)&lt;8,LEN(M62)&gt;9,NOT(ISNUMBER(--LEFT(M62,LEN(M62)-1))),NOT(OR(RIGHT(M62,1)="K",IFERROR(ISNUMBER(--RIGHT(M62,1)),FALSE())))),"NO",IF(RIGHT(M62,1)=MID("0K987654321",MOD(SUMPRODUCT(--MID(RIGHT("00000000"&amp;LEFT(M62,LEN(M62)-1),8),{1,2,3,4,5,6,7,8},1),{3,2,7,6,5,4,3,2}),11)+1,1),"SI","NO"))</f>
        <v>SI</v>
      </c>
      <c r="O62" s="13">
        <f ca="1">IF(LEFT(K62,9)="RECHAZADO",COUNTIF($K$5:K62,"RECHAZADO*"),"")</f>
        <v>25</v>
      </c>
      <c r="P62" s="14" t="str">
        <f t="shared" ca="1" si="8"/>
        <v>OK</v>
      </c>
      <c r="Q62" s="14" t="str">
        <f>IF(COUNTIF(Catalogo_Planes_PIMS!$B$5:$B$7,H62)=1,"SI","NO")</f>
        <v>SI</v>
      </c>
      <c r="R62" s="14" t="str">
        <f t="shared" si="9"/>
        <v>OK</v>
      </c>
      <c r="S62" s="15" t="str">
        <f ca="1">IF(P62&lt;&gt;"OK","Revisar campos obligatorios, fechas y prima",IF(R62="DUPLICADO","ID_Solicitud duplicado",IF(Q62="NO","Plan no existe en catálogo",IF(AND(G62&lt;&gt;"",OR(G62&lt;IFERROR(INDEX(Catalogo_Planes_PIMS!$D$5:$D$7,MATCH(H62,Catalogo_Planes_PIMS!$B$5:$B$7,0)),18),G62&gt;IFERROR(INDEX(Catalogo_Planes_PIMS!$E$5:$E$7,MATCH(H62,Catalogo_Planes_PIMS!$B$5:$B$7,0)),65))),"Edad fuera de rango",IF(N62="NO","RUT inválido",IF(OR(J62="",I62&lt;&gt;J62),"Descalce de prima","Sin errores adicionales"))))))</f>
        <v>Edad fuera de rango</v>
      </c>
    </row>
    <row r="63" spans="1:19" x14ac:dyDescent="0.25">
      <c r="A63" s="7" t="s">
        <v>201</v>
      </c>
      <c r="B63" s="8">
        <v>46303</v>
      </c>
      <c r="C63" s="7" t="s">
        <v>22</v>
      </c>
      <c r="D63" s="9" t="s">
        <v>202</v>
      </c>
      <c r="E63" s="9" t="s">
        <v>203</v>
      </c>
      <c r="F63" s="8">
        <v>24480</v>
      </c>
      <c r="G63" s="10">
        <f t="shared" ca="1" si="5"/>
        <v>59</v>
      </c>
      <c r="H63" s="7" t="s">
        <v>44</v>
      </c>
      <c r="I63" s="11">
        <v>12990</v>
      </c>
      <c r="J63" s="11">
        <f>IFERROR(INDEX(Catalogo_Planes_PIMS!$C$5:$C$7,MATCH(H63,Catalogo_Planes_PIMS!$B$5:$B$7,0)),"")</f>
        <v>12990</v>
      </c>
      <c r="K63" s="7" t="str">
        <f ca="1">IF(P63&lt;&gt;"OK","RECHAZADO_DATOS_INCOMPLETOS",IF(R63="DUPLICADO","RECHAZADO_ID_DUPLICADO",IF(Q63="NO","RECHAZADO_PLAN_NO_CATALOGADO",IF(OR(G63="",G63&lt;IFERROR(INDEX(Catalogo_Planes_PIMS!$D$5:$D$7,MATCH(H63,Catalogo_Planes_PIMS!$B$5:$B$7,0)),18),G63&gt;IFERROR(INDEX(Catalogo_Planes_PIMS!$E$5:$E$7,MATCH(H63,Catalogo_Planes_PIMS!$B$5:$B$7,0)),65)),"RECHAZADO_ELEGIBILIDAD",IF(N63="NO","RECHAZADO_RUT_INVALIDO",IF(OR(J63="",I63&lt;&gt;J63),"RECHAZADO_DESCALCE_PRIMA","APROBADO_CARGA_PIMS"))))))</f>
        <v>APROBADO_CARGA_PIMS</v>
      </c>
      <c r="L63" s="7" t="str">
        <f t="shared" ca="1" si="6"/>
        <v>Sin observaciones</v>
      </c>
      <c r="M63" s="12" t="str">
        <f t="shared" si="7"/>
        <v>137629518</v>
      </c>
      <c r="N63" s="13" t="str">
        <f>IF(OR(D63="",ISERROR(FIND("-",TRIM(D63))),MID(TRIM(D63),LEN(TRIM(D63))-1,1)&lt;&gt;"-",LEN(M63)&lt;8,LEN(M63)&gt;9,NOT(ISNUMBER(--LEFT(M63,LEN(M63)-1))),NOT(OR(RIGHT(M63,1)="K",IFERROR(ISNUMBER(--RIGHT(M63,1)),FALSE())))),"NO",IF(RIGHT(M63,1)=MID("0K987654321",MOD(SUMPRODUCT(--MID(RIGHT("00000000"&amp;LEFT(M63,LEN(M63)-1),8),{1,2,3,4,5,6,7,8},1),{3,2,7,6,5,4,3,2}),11)+1,1),"SI","NO"))</f>
        <v>SI</v>
      </c>
      <c r="O63" s="13" t="str">
        <f ca="1">IF(LEFT(K63,9)="RECHAZADO",COUNTIF($K$5:K63,"RECHAZADO*"),"")</f>
        <v/>
      </c>
      <c r="P63" s="14" t="str">
        <f t="shared" ca="1" si="8"/>
        <v>OK</v>
      </c>
      <c r="Q63" s="14" t="str">
        <f>IF(COUNTIF(Catalogo_Planes_PIMS!$B$5:$B$7,H63)=1,"SI","NO")</f>
        <v>SI</v>
      </c>
      <c r="R63" s="14" t="str">
        <f t="shared" si="9"/>
        <v>OK</v>
      </c>
      <c r="S63" s="15" t="str">
        <f ca="1">IF(P63&lt;&gt;"OK","Revisar campos obligatorios, fechas y prima",IF(R63="DUPLICADO","ID_Solicitud duplicado",IF(Q63="NO","Plan no existe en catálogo",IF(AND(G63&lt;&gt;"",OR(G63&lt;IFERROR(INDEX(Catalogo_Planes_PIMS!$D$5:$D$7,MATCH(H63,Catalogo_Planes_PIMS!$B$5:$B$7,0)),18),G63&gt;IFERROR(INDEX(Catalogo_Planes_PIMS!$E$5:$E$7,MATCH(H63,Catalogo_Planes_PIMS!$B$5:$B$7,0)),65))),"Edad fuera de rango",IF(N63="NO","RUT inválido",IF(OR(J63="",I63&lt;&gt;J63),"Descalce de prima","Sin errores adicionales"))))))</f>
        <v>Sin errores adicionales</v>
      </c>
    </row>
    <row r="64" spans="1:19" x14ac:dyDescent="0.25">
      <c r="A64" s="7" t="s">
        <v>204</v>
      </c>
      <c r="B64" s="8">
        <v>46304</v>
      </c>
      <c r="C64" s="7" t="s">
        <v>27</v>
      </c>
      <c r="D64" s="9" t="s">
        <v>205</v>
      </c>
      <c r="E64" s="9" t="s">
        <v>206</v>
      </c>
      <c r="F64" s="8">
        <v>26025</v>
      </c>
      <c r="G64" s="10">
        <f t="shared" ca="1" si="5"/>
        <v>55</v>
      </c>
      <c r="H64" s="7" t="s">
        <v>25</v>
      </c>
      <c r="I64" s="11">
        <v>18990</v>
      </c>
      <c r="J64" s="11">
        <f>IFERROR(INDEX(Catalogo_Planes_PIMS!$C$5:$C$7,MATCH(H64,Catalogo_Planes_PIMS!$B$5:$B$7,0)),"")</f>
        <v>18990</v>
      </c>
      <c r="K64" s="7" t="str">
        <f ca="1">IF(P64&lt;&gt;"OK","RECHAZADO_DATOS_INCOMPLETOS",IF(R64="DUPLICADO","RECHAZADO_ID_DUPLICADO",IF(Q64="NO","RECHAZADO_PLAN_NO_CATALOGADO",IF(OR(G64="",G64&lt;IFERROR(INDEX(Catalogo_Planes_PIMS!$D$5:$D$7,MATCH(H64,Catalogo_Planes_PIMS!$B$5:$B$7,0)),18),G64&gt;IFERROR(INDEX(Catalogo_Planes_PIMS!$E$5:$E$7,MATCH(H64,Catalogo_Planes_PIMS!$B$5:$B$7,0)),65)),"RECHAZADO_ELEGIBILIDAD",IF(N64="NO","RECHAZADO_RUT_INVALIDO",IF(OR(J64="",I64&lt;&gt;J64),"RECHAZADO_DESCALCE_PRIMA","APROBADO_CARGA_PIMS"))))))</f>
        <v>APROBADO_CARGA_PIMS</v>
      </c>
      <c r="L64" s="7" t="str">
        <f t="shared" ca="1" si="6"/>
        <v>Sin observaciones</v>
      </c>
      <c r="M64" s="12" t="str">
        <f t="shared" si="7"/>
        <v>166642124</v>
      </c>
      <c r="N64" s="13" t="str">
        <f>IF(OR(D64="",ISERROR(FIND("-",TRIM(D64))),MID(TRIM(D64),LEN(TRIM(D64))-1,1)&lt;&gt;"-",LEN(M64)&lt;8,LEN(M64)&gt;9,NOT(ISNUMBER(--LEFT(M64,LEN(M64)-1))),NOT(OR(RIGHT(M64,1)="K",IFERROR(ISNUMBER(--RIGHT(M64,1)),FALSE())))),"NO",IF(RIGHT(M64,1)=MID("0K987654321",MOD(SUMPRODUCT(--MID(RIGHT("00000000"&amp;LEFT(M64,LEN(M64)-1),8),{1,2,3,4,5,6,7,8},1),{3,2,7,6,5,4,3,2}),11)+1,1),"SI","NO"))</f>
        <v>SI</v>
      </c>
      <c r="O64" s="13" t="str">
        <f ca="1">IF(LEFT(K64,9)="RECHAZADO",COUNTIF($K$5:K64,"RECHAZADO*"),"")</f>
        <v/>
      </c>
      <c r="P64" s="14" t="str">
        <f t="shared" ca="1" si="8"/>
        <v>OK</v>
      </c>
      <c r="Q64" s="14" t="str">
        <f>IF(COUNTIF(Catalogo_Planes_PIMS!$B$5:$B$7,H64)=1,"SI","NO")</f>
        <v>SI</v>
      </c>
      <c r="R64" s="14" t="str">
        <f t="shared" si="9"/>
        <v>OK</v>
      </c>
      <c r="S64" s="15" t="str">
        <f ca="1">IF(P64&lt;&gt;"OK","Revisar campos obligatorios, fechas y prima",IF(R64="DUPLICADO","ID_Solicitud duplicado",IF(Q64="NO","Plan no existe en catálogo",IF(AND(G64&lt;&gt;"",OR(G64&lt;IFERROR(INDEX(Catalogo_Planes_PIMS!$D$5:$D$7,MATCH(H64,Catalogo_Planes_PIMS!$B$5:$B$7,0)),18),G64&gt;IFERROR(INDEX(Catalogo_Planes_PIMS!$E$5:$E$7,MATCH(H64,Catalogo_Planes_PIMS!$B$5:$B$7,0)),65))),"Edad fuera de rango",IF(N64="NO","RUT inválido",IF(OR(J64="",I64&lt;&gt;J64),"Descalce de prima","Sin errores adicionales"))))))</f>
        <v>Sin errores adicionales</v>
      </c>
    </row>
    <row r="65" spans="1:19" x14ac:dyDescent="0.25">
      <c r="A65" s="7" t="s">
        <v>207</v>
      </c>
      <c r="B65" s="8">
        <v>46304</v>
      </c>
      <c r="C65" s="7" t="s">
        <v>34</v>
      </c>
      <c r="D65" s="9" t="s">
        <v>208</v>
      </c>
      <c r="E65" s="9" t="s">
        <v>209</v>
      </c>
      <c r="F65" s="8">
        <v>41647</v>
      </c>
      <c r="G65" s="10">
        <f t="shared" ca="1" si="5"/>
        <v>12</v>
      </c>
      <c r="H65" s="7" t="s">
        <v>25</v>
      </c>
      <c r="I65" s="11">
        <v>18990</v>
      </c>
      <c r="J65" s="11">
        <f>IFERROR(INDEX(Catalogo_Planes_PIMS!$C$5:$C$7,MATCH(H65,Catalogo_Planes_PIMS!$B$5:$B$7,0)),"")</f>
        <v>18990</v>
      </c>
      <c r="K65" s="7" t="str">
        <f ca="1">IF(P65&lt;&gt;"OK","RECHAZADO_DATOS_INCOMPLETOS",IF(R65="DUPLICADO","RECHAZADO_ID_DUPLICADO",IF(Q65="NO","RECHAZADO_PLAN_NO_CATALOGADO",IF(OR(G65="",G65&lt;IFERROR(INDEX(Catalogo_Planes_PIMS!$D$5:$D$7,MATCH(H65,Catalogo_Planes_PIMS!$B$5:$B$7,0)),18),G65&gt;IFERROR(INDEX(Catalogo_Planes_PIMS!$E$5:$E$7,MATCH(H65,Catalogo_Planes_PIMS!$B$5:$B$7,0)),65)),"RECHAZADO_ELEGIBILIDAD",IF(N65="NO","RECHAZADO_RUT_INVALIDO",IF(OR(J65="",I65&lt;&gt;J65),"RECHAZADO_DESCALCE_PRIMA","APROBADO_CARGA_PIMS"))))))</f>
        <v>RECHAZADO_ELEGIBILIDAD</v>
      </c>
      <c r="L65" s="7" t="str">
        <f t="shared" ca="1" si="6"/>
        <v>Edad fuera del rango definido en catálogo</v>
      </c>
      <c r="M65" s="12" t="str">
        <f t="shared" si="7"/>
        <v>104706010</v>
      </c>
      <c r="N65" s="13" t="str">
        <f>IF(OR(D65="",ISERROR(FIND("-",TRIM(D65))),MID(TRIM(D65),LEN(TRIM(D65))-1,1)&lt;&gt;"-",LEN(M65)&lt;8,LEN(M65)&gt;9,NOT(ISNUMBER(--LEFT(M65,LEN(M65)-1))),NOT(OR(RIGHT(M65,1)="K",IFERROR(ISNUMBER(--RIGHT(M65,1)),FALSE())))),"NO",IF(RIGHT(M65,1)=MID("0K987654321",MOD(SUMPRODUCT(--MID(RIGHT("00000000"&amp;LEFT(M65,LEN(M65)-1),8),{1,2,3,4,5,6,7,8},1),{3,2,7,6,5,4,3,2}),11)+1,1),"SI","NO"))</f>
        <v>SI</v>
      </c>
      <c r="O65" s="13">
        <f ca="1">IF(LEFT(K65,9)="RECHAZADO",COUNTIF($K$5:K65,"RECHAZADO*"),"")</f>
        <v>26</v>
      </c>
      <c r="P65" s="14" t="str">
        <f t="shared" ca="1" si="8"/>
        <v>OK</v>
      </c>
      <c r="Q65" s="14" t="str">
        <f>IF(COUNTIF(Catalogo_Planes_PIMS!$B$5:$B$7,H65)=1,"SI","NO")</f>
        <v>SI</v>
      </c>
      <c r="R65" s="14" t="str">
        <f t="shared" si="9"/>
        <v>OK</v>
      </c>
      <c r="S65" s="15" t="str">
        <f ca="1">IF(P65&lt;&gt;"OK","Revisar campos obligatorios, fechas y prima",IF(R65="DUPLICADO","ID_Solicitud duplicado",IF(Q65="NO","Plan no existe en catálogo",IF(AND(G65&lt;&gt;"",OR(G65&lt;IFERROR(INDEX(Catalogo_Planes_PIMS!$D$5:$D$7,MATCH(H65,Catalogo_Planes_PIMS!$B$5:$B$7,0)),18),G65&gt;IFERROR(INDEX(Catalogo_Planes_PIMS!$E$5:$E$7,MATCH(H65,Catalogo_Planes_PIMS!$B$5:$B$7,0)),65))),"Edad fuera de rango",IF(N65="NO","RUT inválido",IF(OR(J65="",I65&lt;&gt;J65),"Descalce de prima","Sin errores adicionales"))))))</f>
        <v>Edad fuera de rango</v>
      </c>
    </row>
    <row r="66" spans="1:19" x14ac:dyDescent="0.25">
      <c r="A66" s="7" t="s">
        <v>210</v>
      </c>
      <c r="B66" s="8">
        <v>46304</v>
      </c>
      <c r="C66" s="7" t="s">
        <v>22</v>
      </c>
      <c r="D66" s="9" t="s">
        <v>211</v>
      </c>
      <c r="E66" s="9" t="s">
        <v>212</v>
      </c>
      <c r="F66" s="8">
        <v>28982</v>
      </c>
      <c r="G66" s="10">
        <f t="shared" ca="1" si="5"/>
        <v>47</v>
      </c>
      <c r="H66" s="7" t="s">
        <v>44</v>
      </c>
      <c r="I66" s="11">
        <v>12990</v>
      </c>
      <c r="J66" s="11">
        <f>IFERROR(INDEX(Catalogo_Planes_PIMS!$C$5:$C$7,MATCH(H66,Catalogo_Planes_PIMS!$B$5:$B$7,0)),"")</f>
        <v>12990</v>
      </c>
      <c r="K66" s="7" t="str">
        <f ca="1">IF(P66&lt;&gt;"OK","RECHAZADO_DATOS_INCOMPLETOS",IF(R66="DUPLICADO","RECHAZADO_ID_DUPLICADO",IF(Q66="NO","RECHAZADO_PLAN_NO_CATALOGADO",IF(OR(G66="",G66&lt;IFERROR(INDEX(Catalogo_Planes_PIMS!$D$5:$D$7,MATCH(H66,Catalogo_Planes_PIMS!$B$5:$B$7,0)),18),G66&gt;IFERROR(INDEX(Catalogo_Planes_PIMS!$E$5:$E$7,MATCH(H66,Catalogo_Planes_PIMS!$B$5:$B$7,0)),65)),"RECHAZADO_ELEGIBILIDAD",IF(N66="NO","RECHAZADO_RUT_INVALIDO",IF(OR(J66="",I66&lt;&gt;J66),"RECHAZADO_DESCALCE_PRIMA","APROBADO_CARGA_PIMS"))))))</f>
        <v>APROBADO_CARGA_PIMS</v>
      </c>
      <c r="L66" s="7" t="str">
        <f t="shared" ca="1" si="6"/>
        <v>Sin observaciones</v>
      </c>
      <c r="M66" s="12" t="str">
        <f t="shared" si="7"/>
        <v>231897259</v>
      </c>
      <c r="N66" s="13" t="str">
        <f>IF(OR(D66="",ISERROR(FIND("-",TRIM(D66))),MID(TRIM(D66),LEN(TRIM(D66))-1,1)&lt;&gt;"-",LEN(M66)&lt;8,LEN(M66)&gt;9,NOT(ISNUMBER(--LEFT(M66,LEN(M66)-1))),NOT(OR(RIGHT(M66,1)="K",IFERROR(ISNUMBER(--RIGHT(M66,1)),FALSE())))),"NO",IF(RIGHT(M66,1)=MID("0K987654321",MOD(SUMPRODUCT(--MID(RIGHT("00000000"&amp;LEFT(M66,LEN(M66)-1),8),{1,2,3,4,5,6,7,8},1),{3,2,7,6,5,4,3,2}),11)+1,1),"SI","NO"))</f>
        <v>SI</v>
      </c>
      <c r="O66" s="13" t="str">
        <f ca="1">IF(LEFT(K66,9)="RECHAZADO",COUNTIF($K$5:K66,"RECHAZADO*"),"")</f>
        <v/>
      </c>
      <c r="P66" s="14" t="str">
        <f t="shared" ca="1" si="8"/>
        <v>OK</v>
      </c>
      <c r="Q66" s="14" t="str">
        <f>IF(COUNTIF(Catalogo_Planes_PIMS!$B$5:$B$7,H66)=1,"SI","NO")</f>
        <v>SI</v>
      </c>
      <c r="R66" s="14" t="str">
        <f t="shared" si="9"/>
        <v>OK</v>
      </c>
      <c r="S66" s="15" t="str">
        <f ca="1">IF(P66&lt;&gt;"OK","Revisar campos obligatorios, fechas y prima",IF(R66="DUPLICADO","ID_Solicitud duplicado",IF(Q66="NO","Plan no existe en catálogo",IF(AND(G66&lt;&gt;"",OR(G66&lt;IFERROR(INDEX(Catalogo_Planes_PIMS!$D$5:$D$7,MATCH(H66,Catalogo_Planes_PIMS!$B$5:$B$7,0)),18),G66&gt;IFERROR(INDEX(Catalogo_Planes_PIMS!$E$5:$E$7,MATCH(H66,Catalogo_Planes_PIMS!$B$5:$B$7,0)),65))),"Edad fuera de rango",IF(N66="NO","RUT inválido",IF(OR(J66="",I66&lt;&gt;J66),"Descalce de prima","Sin errores adicionales"))))))</f>
        <v>Sin errores adicionales</v>
      </c>
    </row>
    <row r="67" spans="1:19" x14ac:dyDescent="0.25">
      <c r="A67" s="7" t="s">
        <v>213</v>
      </c>
      <c r="B67" s="8">
        <v>46304</v>
      </c>
      <c r="C67" s="7" t="s">
        <v>27</v>
      </c>
      <c r="D67" s="9" t="s">
        <v>214</v>
      </c>
      <c r="E67" s="9" t="s">
        <v>215</v>
      </c>
      <c r="F67" s="8">
        <v>36212</v>
      </c>
      <c r="G67" s="10">
        <f t="shared" ca="1" si="5"/>
        <v>27</v>
      </c>
      <c r="H67" s="7" t="s">
        <v>37</v>
      </c>
      <c r="I67" s="11">
        <v>7990</v>
      </c>
      <c r="J67" s="11">
        <f>IFERROR(INDEX(Catalogo_Planes_PIMS!$C$5:$C$7,MATCH(H67,Catalogo_Planes_PIMS!$B$5:$B$7,0)),"")</f>
        <v>7990</v>
      </c>
      <c r="K67" s="7" t="str">
        <f ca="1">IF(P67&lt;&gt;"OK","RECHAZADO_DATOS_INCOMPLETOS",IF(R67="DUPLICADO","RECHAZADO_ID_DUPLICADO",IF(Q67="NO","RECHAZADO_PLAN_NO_CATALOGADO",IF(OR(G67="",G67&lt;IFERROR(INDEX(Catalogo_Planes_PIMS!$D$5:$D$7,MATCH(H67,Catalogo_Planes_PIMS!$B$5:$B$7,0)),18),G67&gt;IFERROR(INDEX(Catalogo_Planes_PIMS!$E$5:$E$7,MATCH(H67,Catalogo_Planes_PIMS!$B$5:$B$7,0)),65)),"RECHAZADO_ELEGIBILIDAD",IF(N67="NO","RECHAZADO_RUT_INVALIDO",IF(OR(J67="",I67&lt;&gt;J67),"RECHAZADO_DESCALCE_PRIMA","APROBADO_CARGA_PIMS"))))))</f>
        <v>APROBADO_CARGA_PIMS</v>
      </c>
      <c r="L67" s="7" t="str">
        <f t="shared" ca="1" si="6"/>
        <v>Sin observaciones</v>
      </c>
      <c r="M67" s="12" t="str">
        <f t="shared" si="7"/>
        <v>81660824</v>
      </c>
      <c r="N67" s="13" t="str">
        <f>IF(OR(D67="",ISERROR(FIND("-",TRIM(D67))),MID(TRIM(D67),LEN(TRIM(D67))-1,1)&lt;&gt;"-",LEN(M67)&lt;8,LEN(M67)&gt;9,NOT(ISNUMBER(--LEFT(M67,LEN(M67)-1))),NOT(OR(RIGHT(M67,1)="K",IFERROR(ISNUMBER(--RIGHT(M67,1)),FALSE())))),"NO",IF(RIGHT(M67,1)=MID("0K987654321",MOD(SUMPRODUCT(--MID(RIGHT("00000000"&amp;LEFT(M67,LEN(M67)-1),8),{1,2,3,4,5,6,7,8},1),{3,2,7,6,5,4,3,2}),11)+1,1),"SI","NO"))</f>
        <v>SI</v>
      </c>
      <c r="O67" s="13" t="str">
        <f ca="1">IF(LEFT(K67,9)="RECHAZADO",COUNTIF($K$5:K67,"RECHAZADO*"),"")</f>
        <v/>
      </c>
      <c r="P67" s="14" t="str">
        <f t="shared" ca="1" si="8"/>
        <v>OK</v>
      </c>
      <c r="Q67" s="14" t="str">
        <f>IF(COUNTIF(Catalogo_Planes_PIMS!$B$5:$B$7,H67)=1,"SI","NO")</f>
        <v>SI</v>
      </c>
      <c r="R67" s="14" t="str">
        <f t="shared" si="9"/>
        <v>OK</v>
      </c>
      <c r="S67" s="15" t="str">
        <f ca="1">IF(P67&lt;&gt;"OK","Revisar campos obligatorios, fechas y prima",IF(R67="DUPLICADO","ID_Solicitud duplicado",IF(Q67="NO","Plan no existe en catálogo",IF(AND(G67&lt;&gt;"",OR(G67&lt;IFERROR(INDEX(Catalogo_Planes_PIMS!$D$5:$D$7,MATCH(H67,Catalogo_Planes_PIMS!$B$5:$B$7,0)),18),G67&gt;IFERROR(INDEX(Catalogo_Planes_PIMS!$E$5:$E$7,MATCH(H67,Catalogo_Planes_PIMS!$B$5:$B$7,0)),65))),"Edad fuera de rango",IF(N67="NO","RUT inválido",IF(OR(J67="",I67&lt;&gt;J67),"Descalce de prima","Sin errores adicionales"))))))</f>
        <v>Sin errores adicionales</v>
      </c>
    </row>
    <row r="68" spans="1:19" x14ac:dyDescent="0.25">
      <c r="A68" s="7" t="s">
        <v>216</v>
      </c>
      <c r="B68" s="8">
        <v>46304</v>
      </c>
      <c r="C68" s="7" t="s">
        <v>27</v>
      </c>
      <c r="D68" s="9" t="s">
        <v>217</v>
      </c>
      <c r="E68" s="9" t="s">
        <v>218</v>
      </c>
      <c r="F68" s="8">
        <v>24955</v>
      </c>
      <c r="G68" s="10">
        <f t="shared" ca="1" si="5"/>
        <v>58</v>
      </c>
      <c r="H68" s="7" t="s">
        <v>37</v>
      </c>
      <c r="I68" s="11">
        <v>7990</v>
      </c>
      <c r="J68" s="11">
        <f>IFERROR(INDEX(Catalogo_Planes_PIMS!$C$5:$C$7,MATCH(H68,Catalogo_Planes_PIMS!$B$5:$B$7,0)),"")</f>
        <v>7990</v>
      </c>
      <c r="K68" s="7" t="str">
        <f ca="1">IF(P68&lt;&gt;"OK","RECHAZADO_DATOS_INCOMPLETOS",IF(R68="DUPLICADO","RECHAZADO_ID_DUPLICADO",IF(Q68="NO","RECHAZADO_PLAN_NO_CATALOGADO",IF(OR(G68="",G68&lt;IFERROR(INDEX(Catalogo_Planes_PIMS!$D$5:$D$7,MATCH(H68,Catalogo_Planes_PIMS!$B$5:$B$7,0)),18),G68&gt;IFERROR(INDEX(Catalogo_Planes_PIMS!$E$5:$E$7,MATCH(H68,Catalogo_Planes_PIMS!$B$5:$B$7,0)),65)),"RECHAZADO_ELEGIBILIDAD",IF(N68="NO","RECHAZADO_RUT_INVALIDO",IF(OR(J68="",I68&lt;&gt;J68),"RECHAZADO_DESCALCE_PRIMA","APROBADO_CARGA_PIMS"))))))</f>
        <v>APROBADO_CARGA_PIMS</v>
      </c>
      <c r="L68" s="7" t="str">
        <f t="shared" ca="1" si="6"/>
        <v>Sin observaciones</v>
      </c>
      <c r="M68" s="12" t="str">
        <f t="shared" si="7"/>
        <v>221932757</v>
      </c>
      <c r="N68" s="13" t="str">
        <f>IF(OR(D68="",ISERROR(FIND("-",TRIM(D68))),MID(TRIM(D68),LEN(TRIM(D68))-1,1)&lt;&gt;"-",LEN(M68)&lt;8,LEN(M68)&gt;9,NOT(ISNUMBER(--LEFT(M68,LEN(M68)-1))),NOT(OR(RIGHT(M68,1)="K",IFERROR(ISNUMBER(--RIGHT(M68,1)),FALSE())))),"NO",IF(RIGHT(M68,1)=MID("0K987654321",MOD(SUMPRODUCT(--MID(RIGHT("00000000"&amp;LEFT(M68,LEN(M68)-1),8),{1,2,3,4,5,6,7,8},1),{3,2,7,6,5,4,3,2}),11)+1,1),"SI","NO"))</f>
        <v>SI</v>
      </c>
      <c r="O68" s="13" t="str">
        <f ca="1">IF(LEFT(K68,9)="RECHAZADO",COUNTIF($K$5:K68,"RECHAZADO*"),"")</f>
        <v/>
      </c>
      <c r="P68" s="14" t="str">
        <f t="shared" ca="1" si="8"/>
        <v>OK</v>
      </c>
      <c r="Q68" s="14" t="str">
        <f>IF(COUNTIF(Catalogo_Planes_PIMS!$B$5:$B$7,H68)=1,"SI","NO")</f>
        <v>SI</v>
      </c>
      <c r="R68" s="14" t="str">
        <f t="shared" si="9"/>
        <v>OK</v>
      </c>
      <c r="S68" s="15" t="str">
        <f ca="1">IF(P68&lt;&gt;"OK","Revisar campos obligatorios, fechas y prima",IF(R68="DUPLICADO","ID_Solicitud duplicado",IF(Q68="NO","Plan no existe en catálogo",IF(AND(G68&lt;&gt;"",OR(G68&lt;IFERROR(INDEX(Catalogo_Planes_PIMS!$D$5:$D$7,MATCH(H68,Catalogo_Planes_PIMS!$B$5:$B$7,0)),18),G68&gt;IFERROR(INDEX(Catalogo_Planes_PIMS!$E$5:$E$7,MATCH(H68,Catalogo_Planes_PIMS!$B$5:$B$7,0)),65))),"Edad fuera de rango",IF(N68="NO","RUT inválido",IF(OR(J68="",I68&lt;&gt;J68),"Descalce de prima","Sin errores adicionales"))))))</f>
        <v>Sin errores adicionales</v>
      </c>
    </row>
    <row r="69" spans="1:19" x14ac:dyDescent="0.25">
      <c r="A69" s="7" t="s">
        <v>219</v>
      </c>
      <c r="B69" s="8">
        <v>46304</v>
      </c>
      <c r="C69" s="7" t="s">
        <v>34</v>
      </c>
      <c r="D69" s="9" t="s">
        <v>220</v>
      </c>
      <c r="E69" s="9" t="s">
        <v>221</v>
      </c>
      <c r="F69" s="8">
        <v>25310</v>
      </c>
      <c r="G69" s="10">
        <f t="shared" ref="G69:G100" ca="1" si="10">IF(OR(F69="",NOT(ISNUMBER(F69)),F69&gt;TODAY()),"",DATEDIF(F69,TODAY(),"Y"))</f>
        <v>57</v>
      </c>
      <c r="H69" s="7" t="s">
        <v>25</v>
      </c>
      <c r="I69" s="11">
        <v>18990</v>
      </c>
      <c r="J69" s="11">
        <f>IFERROR(INDEX(Catalogo_Planes_PIMS!$C$5:$C$7,MATCH(H69,Catalogo_Planes_PIMS!$B$5:$B$7,0)),"")</f>
        <v>18990</v>
      </c>
      <c r="K69" s="7" t="str">
        <f ca="1">IF(P69&lt;&gt;"OK","RECHAZADO_DATOS_INCOMPLETOS",IF(R69="DUPLICADO","RECHAZADO_ID_DUPLICADO",IF(Q69="NO","RECHAZADO_PLAN_NO_CATALOGADO",IF(OR(G69="",G69&lt;IFERROR(INDEX(Catalogo_Planes_PIMS!$D$5:$D$7,MATCH(H69,Catalogo_Planes_PIMS!$B$5:$B$7,0)),18),G69&gt;IFERROR(INDEX(Catalogo_Planes_PIMS!$E$5:$E$7,MATCH(H69,Catalogo_Planes_PIMS!$B$5:$B$7,0)),65)),"RECHAZADO_ELEGIBILIDAD",IF(N69="NO","RECHAZADO_RUT_INVALIDO",IF(OR(J69="",I69&lt;&gt;J69),"RECHAZADO_DESCALCE_PRIMA","APROBADO_CARGA_PIMS"))))))</f>
        <v>APROBADO_CARGA_PIMS</v>
      </c>
      <c r="L69" s="7" t="str">
        <f t="shared" ref="L69:L100" ca="1" si="11">IF(K69="APROBADO_CARGA_PIMS","Sin observaciones",IF(K69="RECHAZADO_DATOS_INCOMPLETOS","Campos obligatorios incompletos o dato inválido",IF(K69="RECHAZADO_ID_DUPLICADO","Identificador de solicitud duplicado",IF(K69="RECHAZADO_PLAN_NO_CATALOGADO","Plan solicitado no existe en catálogo PIMS",IF(K69="RECHAZADO_ELEGIBILIDAD","Edad fuera del rango definido en catálogo",IF(K69="RECHAZADO_RUT_INVALIDO","RUT con formato o dígito verificador inválido","Prima informada no coincide con tarifa oficial PIMS"))))))</f>
        <v>Sin observaciones</v>
      </c>
      <c r="M69" s="12" t="str">
        <f t="shared" ref="M69:M104" si="12">SUBSTITUTE(SUBSTITUTE(SUBSTITUTE(UPPER(TRIM(D69)),".",""),"-","")," ","")</f>
        <v>17395395K</v>
      </c>
      <c r="N69" s="13" t="str">
        <f>IF(OR(D69="",ISERROR(FIND("-",TRIM(D69))),MID(TRIM(D69),LEN(TRIM(D69))-1,1)&lt;&gt;"-",LEN(M69)&lt;8,LEN(M69)&gt;9,NOT(ISNUMBER(--LEFT(M69,LEN(M69)-1))),NOT(OR(RIGHT(M69,1)="K",IFERROR(ISNUMBER(--RIGHT(M69,1)),FALSE())))),"NO",IF(RIGHT(M69,1)=MID("0K987654321",MOD(SUMPRODUCT(--MID(RIGHT("00000000"&amp;LEFT(M69,LEN(M69)-1),8),{1,2,3,4,5,6,7,8},1),{3,2,7,6,5,4,3,2}),11)+1,1),"SI","NO"))</f>
        <v>SI</v>
      </c>
      <c r="O69" s="13" t="str">
        <f ca="1">IF(LEFT(K69,9)="RECHAZADO",COUNTIF($K$5:K69,"RECHAZADO*"),"")</f>
        <v/>
      </c>
      <c r="P69" s="14" t="str">
        <f t="shared" ref="P69:P104" ca="1" si="13">IF(OR(A69="",B69="",C69="",D69="",E69="",F69="",H69="",I69=""),"INCOMPLETO",IF(OR(NOT(ISNUMBER(B69)),NOT(ISNUMBER(F69)),F69&gt;TODAY(),NOT(ISNUMBER(I69)),I69&lt;0),"DATO_INVALIDO","OK"))</f>
        <v>OK</v>
      </c>
      <c r="Q69" s="14" t="str">
        <f>IF(COUNTIF(Catalogo_Planes_PIMS!$B$5:$B$7,H69)=1,"SI","NO")</f>
        <v>SI</v>
      </c>
      <c r="R69" s="14" t="str">
        <f t="shared" ref="R69:R104" si="14">IF(A69="","",IF(COUNTIF($A$5:$A$104,A69)&gt;1,"DUPLICADO","OK"))</f>
        <v>OK</v>
      </c>
      <c r="S69" s="15" t="str">
        <f ca="1">IF(P69&lt;&gt;"OK","Revisar campos obligatorios, fechas y prima",IF(R69="DUPLICADO","ID_Solicitud duplicado",IF(Q69="NO","Plan no existe en catálogo",IF(AND(G69&lt;&gt;"",OR(G69&lt;IFERROR(INDEX(Catalogo_Planes_PIMS!$D$5:$D$7,MATCH(H69,Catalogo_Planes_PIMS!$B$5:$B$7,0)),18),G69&gt;IFERROR(INDEX(Catalogo_Planes_PIMS!$E$5:$E$7,MATCH(H69,Catalogo_Planes_PIMS!$B$5:$B$7,0)),65))),"Edad fuera de rango",IF(N69="NO","RUT inválido",IF(OR(J69="",I69&lt;&gt;J69),"Descalce de prima","Sin errores adicionales"))))))</f>
        <v>Sin errores adicionales</v>
      </c>
    </row>
    <row r="70" spans="1:19" x14ac:dyDescent="0.25">
      <c r="A70" s="7" t="s">
        <v>222</v>
      </c>
      <c r="B70" s="8">
        <v>46304</v>
      </c>
      <c r="C70" s="7" t="s">
        <v>22</v>
      </c>
      <c r="D70" s="9" t="s">
        <v>223</v>
      </c>
      <c r="E70" s="9" t="s">
        <v>224</v>
      </c>
      <c r="F70" s="8">
        <v>23012</v>
      </c>
      <c r="G70" s="10">
        <f t="shared" ca="1" si="10"/>
        <v>63</v>
      </c>
      <c r="H70" s="7" t="s">
        <v>25</v>
      </c>
      <c r="I70" s="11">
        <v>18990</v>
      </c>
      <c r="J70" s="11">
        <f>IFERROR(INDEX(Catalogo_Planes_PIMS!$C$5:$C$7,MATCH(H70,Catalogo_Planes_PIMS!$B$5:$B$7,0)),"")</f>
        <v>18990</v>
      </c>
      <c r="K70" s="7" t="str">
        <f ca="1">IF(P70&lt;&gt;"OK","RECHAZADO_DATOS_INCOMPLETOS",IF(R70="DUPLICADO","RECHAZADO_ID_DUPLICADO",IF(Q70="NO","RECHAZADO_PLAN_NO_CATALOGADO",IF(OR(G70="",G70&lt;IFERROR(INDEX(Catalogo_Planes_PIMS!$D$5:$D$7,MATCH(H70,Catalogo_Planes_PIMS!$B$5:$B$7,0)),18),G70&gt;IFERROR(INDEX(Catalogo_Planes_PIMS!$E$5:$E$7,MATCH(H70,Catalogo_Planes_PIMS!$B$5:$B$7,0)),65)),"RECHAZADO_ELEGIBILIDAD",IF(N70="NO","RECHAZADO_RUT_INVALIDO",IF(OR(J70="",I70&lt;&gt;J70),"RECHAZADO_DESCALCE_PRIMA","APROBADO_CARGA_PIMS"))))))</f>
        <v>APROBADO_CARGA_PIMS</v>
      </c>
      <c r="L70" s="7" t="str">
        <f t="shared" ca="1" si="11"/>
        <v>Sin observaciones</v>
      </c>
      <c r="M70" s="12" t="str">
        <f t="shared" si="12"/>
        <v>234664999</v>
      </c>
      <c r="N70" s="13" t="str">
        <f>IF(OR(D70="",ISERROR(FIND("-",TRIM(D70))),MID(TRIM(D70),LEN(TRIM(D70))-1,1)&lt;&gt;"-",LEN(M70)&lt;8,LEN(M70)&gt;9,NOT(ISNUMBER(--LEFT(M70,LEN(M70)-1))),NOT(OR(RIGHT(M70,1)="K",IFERROR(ISNUMBER(--RIGHT(M70,1)),FALSE())))),"NO",IF(RIGHT(M70,1)=MID("0K987654321",MOD(SUMPRODUCT(--MID(RIGHT("00000000"&amp;LEFT(M70,LEN(M70)-1),8),{1,2,3,4,5,6,7,8},1),{3,2,7,6,5,4,3,2}),11)+1,1),"SI","NO"))</f>
        <v>SI</v>
      </c>
      <c r="O70" s="13" t="str">
        <f ca="1">IF(LEFT(K70,9)="RECHAZADO",COUNTIF($K$5:K70,"RECHAZADO*"),"")</f>
        <v/>
      </c>
      <c r="P70" s="14" t="str">
        <f t="shared" ca="1" si="13"/>
        <v>OK</v>
      </c>
      <c r="Q70" s="14" t="str">
        <f>IF(COUNTIF(Catalogo_Planes_PIMS!$B$5:$B$7,H70)=1,"SI","NO")</f>
        <v>SI</v>
      </c>
      <c r="R70" s="14" t="str">
        <f t="shared" si="14"/>
        <v>OK</v>
      </c>
      <c r="S70" s="15" t="str">
        <f ca="1">IF(P70&lt;&gt;"OK","Revisar campos obligatorios, fechas y prima",IF(R70="DUPLICADO","ID_Solicitud duplicado",IF(Q70="NO","Plan no existe en catálogo",IF(AND(G70&lt;&gt;"",OR(G70&lt;IFERROR(INDEX(Catalogo_Planes_PIMS!$D$5:$D$7,MATCH(H70,Catalogo_Planes_PIMS!$B$5:$B$7,0)),18),G70&gt;IFERROR(INDEX(Catalogo_Planes_PIMS!$E$5:$E$7,MATCH(H70,Catalogo_Planes_PIMS!$B$5:$B$7,0)),65))),"Edad fuera de rango",IF(N70="NO","RUT inválido",IF(OR(J70="",I70&lt;&gt;J70),"Descalce de prima","Sin errores adicionales"))))))</f>
        <v>Sin errores adicionales</v>
      </c>
    </row>
    <row r="71" spans="1:19" x14ac:dyDescent="0.25">
      <c r="A71" s="7" t="s">
        <v>225</v>
      </c>
      <c r="B71" s="8">
        <v>46304</v>
      </c>
      <c r="C71" s="7" t="s">
        <v>34</v>
      </c>
      <c r="D71" s="9" t="s">
        <v>226</v>
      </c>
      <c r="E71" s="9" t="s">
        <v>227</v>
      </c>
      <c r="F71" s="8">
        <v>36915</v>
      </c>
      <c r="G71" s="10">
        <f t="shared" ca="1" si="10"/>
        <v>25</v>
      </c>
      <c r="H71" s="7" t="s">
        <v>44</v>
      </c>
      <c r="I71" s="11">
        <v>12990</v>
      </c>
      <c r="J71" s="11">
        <f>IFERROR(INDEX(Catalogo_Planes_PIMS!$C$5:$C$7,MATCH(H71,Catalogo_Planes_PIMS!$B$5:$B$7,0)),"")</f>
        <v>12990</v>
      </c>
      <c r="K71" s="7" t="str">
        <f ca="1">IF(P71&lt;&gt;"OK","RECHAZADO_DATOS_INCOMPLETOS",IF(R71="DUPLICADO","RECHAZADO_ID_DUPLICADO",IF(Q71="NO","RECHAZADO_PLAN_NO_CATALOGADO",IF(OR(G71="",G71&lt;IFERROR(INDEX(Catalogo_Planes_PIMS!$D$5:$D$7,MATCH(H71,Catalogo_Planes_PIMS!$B$5:$B$7,0)),18),G71&gt;IFERROR(INDEX(Catalogo_Planes_PIMS!$E$5:$E$7,MATCH(H71,Catalogo_Planes_PIMS!$B$5:$B$7,0)),65)),"RECHAZADO_ELEGIBILIDAD",IF(N71="NO","RECHAZADO_RUT_INVALIDO",IF(OR(J71="",I71&lt;&gt;J71),"RECHAZADO_DESCALCE_PRIMA","APROBADO_CARGA_PIMS"))))))</f>
        <v>APROBADO_CARGA_PIMS</v>
      </c>
      <c r="L71" s="7" t="str">
        <f t="shared" ca="1" si="11"/>
        <v>Sin observaciones</v>
      </c>
      <c r="M71" s="12" t="str">
        <f t="shared" si="12"/>
        <v>140831050</v>
      </c>
      <c r="N71" s="13" t="str">
        <f>IF(OR(D71="",ISERROR(FIND("-",TRIM(D71))),MID(TRIM(D71),LEN(TRIM(D71))-1,1)&lt;&gt;"-",LEN(M71)&lt;8,LEN(M71)&gt;9,NOT(ISNUMBER(--LEFT(M71,LEN(M71)-1))),NOT(OR(RIGHT(M71,1)="K",IFERROR(ISNUMBER(--RIGHT(M71,1)),FALSE())))),"NO",IF(RIGHT(M71,1)=MID("0K987654321",MOD(SUMPRODUCT(--MID(RIGHT("00000000"&amp;LEFT(M71,LEN(M71)-1),8),{1,2,3,4,5,6,7,8},1),{3,2,7,6,5,4,3,2}),11)+1,1),"SI","NO"))</f>
        <v>SI</v>
      </c>
      <c r="O71" s="13" t="str">
        <f ca="1">IF(LEFT(K71,9)="RECHAZADO",COUNTIF($K$5:K71,"RECHAZADO*"),"")</f>
        <v/>
      </c>
      <c r="P71" s="14" t="str">
        <f t="shared" ca="1" si="13"/>
        <v>OK</v>
      </c>
      <c r="Q71" s="14" t="str">
        <f>IF(COUNTIF(Catalogo_Planes_PIMS!$B$5:$B$7,H71)=1,"SI","NO")</f>
        <v>SI</v>
      </c>
      <c r="R71" s="14" t="str">
        <f t="shared" si="14"/>
        <v>OK</v>
      </c>
      <c r="S71" s="15" t="str">
        <f ca="1">IF(P71&lt;&gt;"OK","Revisar campos obligatorios, fechas y prima",IF(R71="DUPLICADO","ID_Solicitud duplicado",IF(Q71="NO","Plan no existe en catálogo",IF(AND(G71&lt;&gt;"",OR(G71&lt;IFERROR(INDEX(Catalogo_Planes_PIMS!$D$5:$D$7,MATCH(H71,Catalogo_Planes_PIMS!$B$5:$B$7,0)),18),G71&gt;IFERROR(INDEX(Catalogo_Planes_PIMS!$E$5:$E$7,MATCH(H71,Catalogo_Planes_PIMS!$B$5:$B$7,0)),65))),"Edad fuera de rango",IF(N71="NO","RUT inválido",IF(OR(J71="",I71&lt;&gt;J71),"Descalce de prima","Sin errores adicionales"))))))</f>
        <v>Sin errores adicionales</v>
      </c>
    </row>
    <row r="72" spans="1:19" x14ac:dyDescent="0.25">
      <c r="A72" s="7" t="s">
        <v>228</v>
      </c>
      <c r="B72" s="8">
        <v>46304</v>
      </c>
      <c r="C72" s="7" t="s">
        <v>34</v>
      </c>
      <c r="D72" s="9" t="s">
        <v>229</v>
      </c>
      <c r="E72" s="9" t="s">
        <v>230</v>
      </c>
      <c r="F72" s="8">
        <v>32634</v>
      </c>
      <c r="G72" s="10">
        <f t="shared" ca="1" si="10"/>
        <v>37</v>
      </c>
      <c r="H72" s="7" t="s">
        <v>37</v>
      </c>
      <c r="I72" s="11">
        <v>7990</v>
      </c>
      <c r="J72" s="11">
        <f>IFERROR(INDEX(Catalogo_Planes_PIMS!$C$5:$C$7,MATCH(H72,Catalogo_Planes_PIMS!$B$5:$B$7,0)),"")</f>
        <v>7990</v>
      </c>
      <c r="K72" s="7" t="str">
        <f ca="1">IF(P72&lt;&gt;"OK","RECHAZADO_DATOS_INCOMPLETOS",IF(R72="DUPLICADO","RECHAZADO_ID_DUPLICADO",IF(Q72="NO","RECHAZADO_PLAN_NO_CATALOGADO",IF(OR(G72="",G72&lt;IFERROR(INDEX(Catalogo_Planes_PIMS!$D$5:$D$7,MATCH(H72,Catalogo_Planes_PIMS!$B$5:$B$7,0)),18),G72&gt;IFERROR(INDEX(Catalogo_Planes_PIMS!$E$5:$E$7,MATCH(H72,Catalogo_Planes_PIMS!$B$5:$B$7,0)),65)),"RECHAZADO_ELEGIBILIDAD",IF(N72="NO","RECHAZADO_RUT_INVALIDO",IF(OR(J72="",I72&lt;&gt;J72),"RECHAZADO_DESCALCE_PRIMA","APROBADO_CARGA_PIMS"))))))</f>
        <v>APROBADO_CARGA_PIMS</v>
      </c>
      <c r="L72" s="7" t="str">
        <f t="shared" ca="1" si="11"/>
        <v>Sin observaciones</v>
      </c>
      <c r="M72" s="12" t="str">
        <f t="shared" si="12"/>
        <v>223941443</v>
      </c>
      <c r="N72" s="13" t="str">
        <f>IF(OR(D72="",ISERROR(FIND("-",TRIM(D72))),MID(TRIM(D72),LEN(TRIM(D72))-1,1)&lt;&gt;"-",LEN(M72)&lt;8,LEN(M72)&gt;9,NOT(ISNUMBER(--LEFT(M72,LEN(M72)-1))),NOT(OR(RIGHT(M72,1)="K",IFERROR(ISNUMBER(--RIGHT(M72,1)),FALSE())))),"NO",IF(RIGHT(M72,1)=MID("0K987654321",MOD(SUMPRODUCT(--MID(RIGHT("00000000"&amp;LEFT(M72,LEN(M72)-1),8),{1,2,3,4,5,6,7,8},1),{3,2,7,6,5,4,3,2}),11)+1,1),"SI","NO"))</f>
        <v>SI</v>
      </c>
      <c r="O72" s="13" t="str">
        <f ca="1">IF(LEFT(K72,9)="RECHAZADO",COUNTIF($K$5:K72,"RECHAZADO*"),"")</f>
        <v/>
      </c>
      <c r="P72" s="14" t="str">
        <f t="shared" ca="1" si="13"/>
        <v>OK</v>
      </c>
      <c r="Q72" s="14" t="str">
        <f>IF(COUNTIF(Catalogo_Planes_PIMS!$B$5:$B$7,H72)=1,"SI","NO")</f>
        <v>SI</v>
      </c>
      <c r="R72" s="14" t="str">
        <f t="shared" si="14"/>
        <v>OK</v>
      </c>
      <c r="S72" s="15" t="str">
        <f ca="1">IF(P72&lt;&gt;"OK","Revisar campos obligatorios, fechas y prima",IF(R72="DUPLICADO","ID_Solicitud duplicado",IF(Q72="NO","Plan no existe en catálogo",IF(AND(G72&lt;&gt;"",OR(G72&lt;IFERROR(INDEX(Catalogo_Planes_PIMS!$D$5:$D$7,MATCH(H72,Catalogo_Planes_PIMS!$B$5:$B$7,0)),18),G72&gt;IFERROR(INDEX(Catalogo_Planes_PIMS!$E$5:$E$7,MATCH(H72,Catalogo_Planes_PIMS!$B$5:$B$7,0)),65))),"Edad fuera de rango",IF(N72="NO","RUT inválido",IF(OR(J72="",I72&lt;&gt;J72),"Descalce de prima","Sin errores adicionales"))))))</f>
        <v>Sin errores adicionales</v>
      </c>
    </row>
    <row r="73" spans="1:19" x14ac:dyDescent="0.25">
      <c r="A73" s="7" t="s">
        <v>231</v>
      </c>
      <c r="B73" s="8">
        <v>46304</v>
      </c>
      <c r="C73" s="7" t="s">
        <v>34</v>
      </c>
      <c r="D73" s="9" t="s">
        <v>232</v>
      </c>
      <c r="E73" s="9" t="s">
        <v>233</v>
      </c>
      <c r="F73" s="8">
        <v>28296</v>
      </c>
      <c r="G73" s="10">
        <f t="shared" ca="1" si="10"/>
        <v>49</v>
      </c>
      <c r="H73" s="7" t="s">
        <v>37</v>
      </c>
      <c r="I73" s="11">
        <v>12990</v>
      </c>
      <c r="J73" s="11">
        <f>IFERROR(INDEX(Catalogo_Planes_PIMS!$C$5:$C$7,MATCH(H73,Catalogo_Planes_PIMS!$B$5:$B$7,0)),"")</f>
        <v>7990</v>
      </c>
      <c r="K73" s="7" t="str">
        <f ca="1">IF(P73&lt;&gt;"OK","RECHAZADO_DATOS_INCOMPLETOS",IF(R73="DUPLICADO","RECHAZADO_ID_DUPLICADO",IF(Q73="NO","RECHAZADO_PLAN_NO_CATALOGADO",IF(OR(G73="",G73&lt;IFERROR(INDEX(Catalogo_Planes_PIMS!$D$5:$D$7,MATCH(H73,Catalogo_Planes_PIMS!$B$5:$B$7,0)),18),G73&gt;IFERROR(INDEX(Catalogo_Planes_PIMS!$E$5:$E$7,MATCH(H73,Catalogo_Planes_PIMS!$B$5:$B$7,0)),65)),"RECHAZADO_ELEGIBILIDAD",IF(N73="NO","RECHAZADO_RUT_INVALIDO",IF(OR(J73="",I73&lt;&gt;J73),"RECHAZADO_DESCALCE_PRIMA","APROBADO_CARGA_PIMS"))))))</f>
        <v>RECHAZADO_RUT_INVALIDO</v>
      </c>
      <c r="L73" s="7" t="str">
        <f t="shared" ca="1" si="11"/>
        <v>RUT con formato o dígito verificador inválido</v>
      </c>
      <c r="M73" s="12" t="str">
        <f t="shared" si="12"/>
        <v>11100031K</v>
      </c>
      <c r="N73" s="13" t="str">
        <f>IF(OR(D73="",ISERROR(FIND("-",TRIM(D73))),MID(TRIM(D73),LEN(TRIM(D73))-1,1)&lt;&gt;"-",LEN(M73)&lt;8,LEN(M73)&gt;9,NOT(ISNUMBER(--LEFT(M73,LEN(M73)-1))),NOT(OR(RIGHT(M73,1)="K",IFERROR(ISNUMBER(--RIGHT(M73,1)),FALSE())))),"NO",IF(RIGHT(M73,1)=MID("0K987654321",MOD(SUMPRODUCT(--MID(RIGHT("00000000"&amp;LEFT(M73,LEN(M73)-1),8),{1,2,3,4,5,6,7,8},1),{3,2,7,6,5,4,3,2}),11)+1,1),"SI","NO"))</f>
        <v>NO</v>
      </c>
      <c r="O73" s="13">
        <f ca="1">IF(LEFT(K73,9)="RECHAZADO",COUNTIF($K$5:K73,"RECHAZADO*"),"")</f>
        <v>27</v>
      </c>
      <c r="P73" s="14" t="str">
        <f t="shared" ca="1" si="13"/>
        <v>OK</v>
      </c>
      <c r="Q73" s="14" t="str">
        <f>IF(COUNTIF(Catalogo_Planes_PIMS!$B$5:$B$7,H73)=1,"SI","NO")</f>
        <v>SI</v>
      </c>
      <c r="R73" s="14" t="str">
        <f t="shared" si="14"/>
        <v>OK</v>
      </c>
      <c r="S73" s="15" t="str">
        <f ca="1">IF(P73&lt;&gt;"OK","Revisar campos obligatorios, fechas y prima",IF(R73="DUPLICADO","ID_Solicitud duplicado",IF(Q73="NO","Plan no existe en catálogo",IF(AND(G73&lt;&gt;"",OR(G73&lt;IFERROR(INDEX(Catalogo_Planes_PIMS!$D$5:$D$7,MATCH(H73,Catalogo_Planes_PIMS!$B$5:$B$7,0)),18),G73&gt;IFERROR(INDEX(Catalogo_Planes_PIMS!$E$5:$E$7,MATCH(H73,Catalogo_Planes_PIMS!$B$5:$B$7,0)),65))),"Edad fuera de rango",IF(N73="NO","RUT inválido",IF(OR(J73="",I73&lt;&gt;J73),"Descalce de prima","Sin errores adicionales"))))))</f>
        <v>RUT inválido</v>
      </c>
    </row>
    <row r="74" spans="1:19" x14ac:dyDescent="0.25">
      <c r="A74" s="7" t="s">
        <v>234</v>
      </c>
      <c r="B74" s="8">
        <v>46304</v>
      </c>
      <c r="C74" s="7" t="s">
        <v>22</v>
      </c>
      <c r="D74" s="9" t="s">
        <v>235</v>
      </c>
      <c r="E74" s="9" t="s">
        <v>236</v>
      </c>
      <c r="F74" s="8">
        <v>36644</v>
      </c>
      <c r="G74" s="10">
        <f t="shared" ca="1" si="10"/>
        <v>26</v>
      </c>
      <c r="H74" s="7" t="s">
        <v>37</v>
      </c>
      <c r="I74" s="11">
        <v>7990</v>
      </c>
      <c r="J74" s="11">
        <f>IFERROR(INDEX(Catalogo_Planes_PIMS!$C$5:$C$7,MATCH(H74,Catalogo_Planes_PIMS!$B$5:$B$7,0)),"")</f>
        <v>7990</v>
      </c>
      <c r="K74" s="7" t="str">
        <f ca="1">IF(P74&lt;&gt;"OK","RECHAZADO_DATOS_INCOMPLETOS",IF(R74="DUPLICADO","RECHAZADO_ID_DUPLICADO",IF(Q74="NO","RECHAZADO_PLAN_NO_CATALOGADO",IF(OR(G74="",G74&lt;IFERROR(INDEX(Catalogo_Planes_PIMS!$D$5:$D$7,MATCH(H74,Catalogo_Planes_PIMS!$B$5:$B$7,0)),18),G74&gt;IFERROR(INDEX(Catalogo_Planes_PIMS!$E$5:$E$7,MATCH(H74,Catalogo_Planes_PIMS!$B$5:$B$7,0)),65)),"RECHAZADO_ELEGIBILIDAD",IF(N74="NO","RECHAZADO_RUT_INVALIDO",IF(OR(J74="",I74&lt;&gt;J74),"RECHAZADO_DESCALCE_PRIMA","APROBADO_CARGA_PIMS"))))))</f>
        <v>APROBADO_CARGA_PIMS</v>
      </c>
      <c r="L74" s="7" t="str">
        <f t="shared" ca="1" si="11"/>
        <v>Sin observaciones</v>
      </c>
      <c r="M74" s="12" t="str">
        <f t="shared" si="12"/>
        <v>160442670</v>
      </c>
      <c r="N74" s="13" t="str">
        <f>IF(OR(D74="",ISERROR(FIND("-",TRIM(D74))),MID(TRIM(D74),LEN(TRIM(D74))-1,1)&lt;&gt;"-",LEN(M74)&lt;8,LEN(M74)&gt;9,NOT(ISNUMBER(--LEFT(M74,LEN(M74)-1))),NOT(OR(RIGHT(M74,1)="K",IFERROR(ISNUMBER(--RIGHT(M74,1)),FALSE())))),"NO",IF(RIGHT(M74,1)=MID("0K987654321",MOD(SUMPRODUCT(--MID(RIGHT("00000000"&amp;LEFT(M74,LEN(M74)-1),8),{1,2,3,4,5,6,7,8},1),{3,2,7,6,5,4,3,2}),11)+1,1),"SI","NO"))</f>
        <v>SI</v>
      </c>
      <c r="O74" s="13" t="str">
        <f ca="1">IF(LEFT(K74,9)="RECHAZADO",COUNTIF($K$5:K74,"RECHAZADO*"),"")</f>
        <v/>
      </c>
      <c r="P74" s="14" t="str">
        <f t="shared" ca="1" si="13"/>
        <v>OK</v>
      </c>
      <c r="Q74" s="14" t="str">
        <f>IF(COUNTIF(Catalogo_Planes_PIMS!$B$5:$B$7,H74)=1,"SI","NO")</f>
        <v>SI</v>
      </c>
      <c r="R74" s="14" t="str">
        <f t="shared" si="14"/>
        <v>OK</v>
      </c>
      <c r="S74" s="15" t="str">
        <f ca="1">IF(P74&lt;&gt;"OK","Revisar campos obligatorios, fechas y prima",IF(R74="DUPLICADO","ID_Solicitud duplicado",IF(Q74="NO","Plan no existe en catálogo",IF(AND(G74&lt;&gt;"",OR(G74&lt;IFERROR(INDEX(Catalogo_Planes_PIMS!$D$5:$D$7,MATCH(H74,Catalogo_Planes_PIMS!$B$5:$B$7,0)),18),G74&gt;IFERROR(INDEX(Catalogo_Planes_PIMS!$E$5:$E$7,MATCH(H74,Catalogo_Planes_PIMS!$B$5:$B$7,0)),65))),"Edad fuera de rango",IF(N74="NO","RUT inválido",IF(OR(J74="",I74&lt;&gt;J74),"Descalce de prima","Sin errores adicionales"))))))</f>
        <v>Sin errores adicionales</v>
      </c>
    </row>
    <row r="75" spans="1:19" x14ac:dyDescent="0.25">
      <c r="A75" s="7" t="s">
        <v>237</v>
      </c>
      <c r="B75" s="8">
        <v>46304</v>
      </c>
      <c r="C75" s="7" t="s">
        <v>34</v>
      </c>
      <c r="D75" s="9" t="s">
        <v>238</v>
      </c>
      <c r="E75" s="9" t="s">
        <v>239</v>
      </c>
      <c r="F75" s="8">
        <v>29422</v>
      </c>
      <c r="G75" s="10">
        <f t="shared" ca="1" si="10"/>
        <v>46</v>
      </c>
      <c r="H75" s="7" t="s">
        <v>37</v>
      </c>
      <c r="I75" s="11">
        <v>7990</v>
      </c>
      <c r="J75" s="11">
        <f>IFERROR(INDEX(Catalogo_Planes_PIMS!$C$5:$C$7,MATCH(H75,Catalogo_Planes_PIMS!$B$5:$B$7,0)),"")</f>
        <v>7990</v>
      </c>
      <c r="K75" s="7" t="str">
        <f ca="1">IF(P75&lt;&gt;"OK","RECHAZADO_DATOS_INCOMPLETOS",IF(R75="DUPLICADO","RECHAZADO_ID_DUPLICADO",IF(Q75="NO","RECHAZADO_PLAN_NO_CATALOGADO",IF(OR(G75="",G75&lt;IFERROR(INDEX(Catalogo_Planes_PIMS!$D$5:$D$7,MATCH(H75,Catalogo_Planes_PIMS!$B$5:$B$7,0)),18),G75&gt;IFERROR(INDEX(Catalogo_Planes_PIMS!$E$5:$E$7,MATCH(H75,Catalogo_Planes_PIMS!$B$5:$B$7,0)),65)),"RECHAZADO_ELEGIBILIDAD",IF(N75="NO","RECHAZADO_RUT_INVALIDO",IF(OR(J75="",I75&lt;&gt;J75),"RECHAZADO_DESCALCE_PRIMA","APROBADO_CARGA_PIMS"))))))</f>
        <v>APROBADO_CARGA_PIMS</v>
      </c>
      <c r="L75" s="7" t="str">
        <f t="shared" ca="1" si="11"/>
        <v>Sin observaciones</v>
      </c>
      <c r="M75" s="12" t="str">
        <f t="shared" si="12"/>
        <v>213442465</v>
      </c>
      <c r="N75" s="13" t="str">
        <f>IF(OR(D75="",ISERROR(FIND("-",TRIM(D75))),MID(TRIM(D75),LEN(TRIM(D75))-1,1)&lt;&gt;"-",LEN(M75)&lt;8,LEN(M75)&gt;9,NOT(ISNUMBER(--LEFT(M75,LEN(M75)-1))),NOT(OR(RIGHT(M75,1)="K",IFERROR(ISNUMBER(--RIGHT(M75,1)),FALSE())))),"NO",IF(RIGHT(M75,1)=MID("0K987654321",MOD(SUMPRODUCT(--MID(RIGHT("00000000"&amp;LEFT(M75,LEN(M75)-1),8),{1,2,3,4,5,6,7,8},1),{3,2,7,6,5,4,3,2}),11)+1,1),"SI","NO"))</f>
        <v>SI</v>
      </c>
      <c r="O75" s="13" t="str">
        <f ca="1">IF(LEFT(K75,9)="RECHAZADO",COUNTIF($K$5:K75,"RECHAZADO*"),"")</f>
        <v/>
      </c>
      <c r="P75" s="14" t="str">
        <f t="shared" ca="1" si="13"/>
        <v>OK</v>
      </c>
      <c r="Q75" s="14" t="str">
        <f>IF(COUNTIF(Catalogo_Planes_PIMS!$B$5:$B$7,H75)=1,"SI","NO")</f>
        <v>SI</v>
      </c>
      <c r="R75" s="14" t="str">
        <f t="shared" si="14"/>
        <v>OK</v>
      </c>
      <c r="S75" s="15" t="str">
        <f ca="1">IF(P75&lt;&gt;"OK","Revisar campos obligatorios, fechas y prima",IF(R75="DUPLICADO","ID_Solicitud duplicado",IF(Q75="NO","Plan no existe en catálogo",IF(AND(G75&lt;&gt;"",OR(G75&lt;IFERROR(INDEX(Catalogo_Planes_PIMS!$D$5:$D$7,MATCH(H75,Catalogo_Planes_PIMS!$B$5:$B$7,0)),18),G75&gt;IFERROR(INDEX(Catalogo_Planes_PIMS!$E$5:$E$7,MATCH(H75,Catalogo_Planes_PIMS!$B$5:$B$7,0)),65))),"Edad fuera de rango",IF(N75="NO","RUT inválido",IF(OR(J75="",I75&lt;&gt;J75),"Descalce de prima","Sin errores adicionales"))))))</f>
        <v>Sin errores adicionales</v>
      </c>
    </row>
    <row r="76" spans="1:19" x14ac:dyDescent="0.25">
      <c r="A76" s="7" t="s">
        <v>240</v>
      </c>
      <c r="B76" s="8">
        <v>46304</v>
      </c>
      <c r="C76" s="7" t="s">
        <v>22</v>
      </c>
      <c r="D76" s="9" t="s">
        <v>241</v>
      </c>
      <c r="E76" s="9" t="s">
        <v>242</v>
      </c>
      <c r="F76" s="8">
        <v>27777</v>
      </c>
      <c r="G76" s="10">
        <f t="shared" ca="1" si="10"/>
        <v>50</v>
      </c>
      <c r="H76" s="7" t="s">
        <v>44</v>
      </c>
      <c r="I76" s="11">
        <v>12990</v>
      </c>
      <c r="J76" s="11">
        <f>IFERROR(INDEX(Catalogo_Planes_PIMS!$C$5:$C$7,MATCH(H76,Catalogo_Planes_PIMS!$B$5:$B$7,0)),"")</f>
        <v>12990</v>
      </c>
      <c r="K76" s="7" t="str">
        <f ca="1">IF(P76&lt;&gt;"OK","RECHAZADO_DATOS_INCOMPLETOS",IF(R76="DUPLICADO","RECHAZADO_ID_DUPLICADO",IF(Q76="NO","RECHAZADO_PLAN_NO_CATALOGADO",IF(OR(G76="",G76&lt;IFERROR(INDEX(Catalogo_Planes_PIMS!$D$5:$D$7,MATCH(H76,Catalogo_Planes_PIMS!$B$5:$B$7,0)),18),G76&gt;IFERROR(INDEX(Catalogo_Planes_PIMS!$E$5:$E$7,MATCH(H76,Catalogo_Planes_PIMS!$B$5:$B$7,0)),65)),"RECHAZADO_ELEGIBILIDAD",IF(N76="NO","RECHAZADO_RUT_INVALIDO",IF(OR(J76="",I76&lt;&gt;J76),"RECHAZADO_DESCALCE_PRIMA","APROBADO_CARGA_PIMS"))))))</f>
        <v>APROBADO_CARGA_PIMS</v>
      </c>
      <c r="L76" s="7" t="str">
        <f t="shared" ca="1" si="11"/>
        <v>Sin observaciones</v>
      </c>
      <c r="M76" s="12" t="str">
        <f t="shared" si="12"/>
        <v>243230829</v>
      </c>
      <c r="N76" s="13" t="str">
        <f>IF(OR(D76="",ISERROR(FIND("-",TRIM(D76))),MID(TRIM(D76),LEN(TRIM(D76))-1,1)&lt;&gt;"-",LEN(M76)&lt;8,LEN(M76)&gt;9,NOT(ISNUMBER(--LEFT(M76,LEN(M76)-1))),NOT(OR(RIGHT(M76,1)="K",IFERROR(ISNUMBER(--RIGHT(M76,1)),FALSE())))),"NO",IF(RIGHT(M76,1)=MID("0K987654321",MOD(SUMPRODUCT(--MID(RIGHT("00000000"&amp;LEFT(M76,LEN(M76)-1),8),{1,2,3,4,5,6,7,8},1),{3,2,7,6,5,4,3,2}),11)+1,1),"SI","NO"))</f>
        <v>SI</v>
      </c>
      <c r="O76" s="13" t="str">
        <f ca="1">IF(LEFT(K76,9)="RECHAZADO",COUNTIF($K$5:K76,"RECHAZADO*"),"")</f>
        <v/>
      </c>
      <c r="P76" s="14" t="str">
        <f t="shared" ca="1" si="13"/>
        <v>OK</v>
      </c>
      <c r="Q76" s="14" t="str">
        <f>IF(COUNTIF(Catalogo_Planes_PIMS!$B$5:$B$7,H76)=1,"SI","NO")</f>
        <v>SI</v>
      </c>
      <c r="R76" s="14" t="str">
        <f t="shared" si="14"/>
        <v>OK</v>
      </c>
      <c r="S76" s="15" t="str">
        <f ca="1">IF(P76&lt;&gt;"OK","Revisar campos obligatorios, fechas y prima",IF(R76="DUPLICADO","ID_Solicitud duplicado",IF(Q76="NO","Plan no existe en catálogo",IF(AND(G76&lt;&gt;"",OR(G76&lt;IFERROR(INDEX(Catalogo_Planes_PIMS!$D$5:$D$7,MATCH(H76,Catalogo_Planes_PIMS!$B$5:$B$7,0)),18),G76&gt;IFERROR(INDEX(Catalogo_Planes_PIMS!$E$5:$E$7,MATCH(H76,Catalogo_Planes_PIMS!$B$5:$B$7,0)),65))),"Edad fuera de rango",IF(N76="NO","RUT inválido",IF(OR(J76="",I76&lt;&gt;J76),"Descalce de prima","Sin errores adicionales"))))))</f>
        <v>Sin errores adicionales</v>
      </c>
    </row>
    <row r="77" spans="1:19" x14ac:dyDescent="0.25">
      <c r="A77" s="7" t="s">
        <v>243</v>
      </c>
      <c r="B77" s="8">
        <v>46305</v>
      </c>
      <c r="C77" s="7" t="s">
        <v>27</v>
      </c>
      <c r="D77" s="9" t="s">
        <v>244</v>
      </c>
      <c r="E77" s="9" t="s">
        <v>245</v>
      </c>
      <c r="F77" s="8">
        <v>25060</v>
      </c>
      <c r="G77" s="10">
        <f t="shared" ca="1" si="10"/>
        <v>58</v>
      </c>
      <c r="H77" s="7" t="s">
        <v>25</v>
      </c>
      <c r="I77" s="11">
        <v>18990</v>
      </c>
      <c r="J77" s="11">
        <f>IFERROR(INDEX(Catalogo_Planes_PIMS!$C$5:$C$7,MATCH(H77,Catalogo_Planes_PIMS!$B$5:$B$7,0)),"")</f>
        <v>18990</v>
      </c>
      <c r="K77" s="7" t="str">
        <f ca="1">IF(P77&lt;&gt;"OK","RECHAZADO_DATOS_INCOMPLETOS",IF(R77="DUPLICADO","RECHAZADO_ID_DUPLICADO",IF(Q77="NO","RECHAZADO_PLAN_NO_CATALOGADO",IF(OR(G77="",G77&lt;IFERROR(INDEX(Catalogo_Planes_PIMS!$D$5:$D$7,MATCH(H77,Catalogo_Planes_PIMS!$B$5:$B$7,0)),18),G77&gt;IFERROR(INDEX(Catalogo_Planes_PIMS!$E$5:$E$7,MATCH(H77,Catalogo_Planes_PIMS!$B$5:$B$7,0)),65)),"RECHAZADO_ELEGIBILIDAD",IF(N77="NO","RECHAZADO_RUT_INVALIDO",IF(OR(J77="",I77&lt;&gt;J77),"RECHAZADO_DESCALCE_PRIMA","APROBADO_CARGA_PIMS"))))))</f>
        <v>APROBADO_CARGA_PIMS</v>
      </c>
      <c r="L77" s="7" t="str">
        <f t="shared" ca="1" si="11"/>
        <v>Sin observaciones</v>
      </c>
      <c r="M77" s="12" t="str">
        <f t="shared" si="12"/>
        <v>216242807</v>
      </c>
      <c r="N77" s="13" t="str">
        <f>IF(OR(D77="",ISERROR(FIND("-",TRIM(D77))),MID(TRIM(D77),LEN(TRIM(D77))-1,1)&lt;&gt;"-",LEN(M77)&lt;8,LEN(M77)&gt;9,NOT(ISNUMBER(--LEFT(M77,LEN(M77)-1))),NOT(OR(RIGHT(M77,1)="K",IFERROR(ISNUMBER(--RIGHT(M77,1)),FALSE())))),"NO",IF(RIGHT(M77,1)=MID("0K987654321",MOD(SUMPRODUCT(--MID(RIGHT("00000000"&amp;LEFT(M77,LEN(M77)-1),8),{1,2,3,4,5,6,7,8},1),{3,2,7,6,5,4,3,2}),11)+1,1),"SI","NO"))</f>
        <v>SI</v>
      </c>
      <c r="O77" s="13" t="str">
        <f ca="1">IF(LEFT(K77,9)="RECHAZADO",COUNTIF($K$5:K77,"RECHAZADO*"),"")</f>
        <v/>
      </c>
      <c r="P77" s="14" t="str">
        <f t="shared" ca="1" si="13"/>
        <v>OK</v>
      </c>
      <c r="Q77" s="14" t="str">
        <f>IF(COUNTIF(Catalogo_Planes_PIMS!$B$5:$B$7,H77)=1,"SI","NO")</f>
        <v>SI</v>
      </c>
      <c r="R77" s="14" t="str">
        <f t="shared" si="14"/>
        <v>OK</v>
      </c>
      <c r="S77" s="15" t="str">
        <f ca="1">IF(P77&lt;&gt;"OK","Revisar campos obligatorios, fechas y prima",IF(R77="DUPLICADO","ID_Solicitud duplicado",IF(Q77="NO","Plan no existe en catálogo",IF(AND(G77&lt;&gt;"",OR(G77&lt;IFERROR(INDEX(Catalogo_Planes_PIMS!$D$5:$D$7,MATCH(H77,Catalogo_Planes_PIMS!$B$5:$B$7,0)),18),G77&gt;IFERROR(INDEX(Catalogo_Planes_PIMS!$E$5:$E$7,MATCH(H77,Catalogo_Planes_PIMS!$B$5:$B$7,0)),65))),"Edad fuera de rango",IF(N77="NO","RUT inválido",IF(OR(J77="",I77&lt;&gt;J77),"Descalce de prima","Sin errores adicionales"))))))</f>
        <v>Sin errores adicionales</v>
      </c>
    </row>
    <row r="78" spans="1:19" x14ac:dyDescent="0.25">
      <c r="A78" s="7" t="s">
        <v>246</v>
      </c>
      <c r="B78" s="8">
        <v>46305</v>
      </c>
      <c r="C78" s="7" t="s">
        <v>34</v>
      </c>
      <c r="D78" s="9" t="s">
        <v>247</v>
      </c>
      <c r="E78" s="9" t="s">
        <v>248</v>
      </c>
      <c r="F78" s="8">
        <v>25817</v>
      </c>
      <c r="G78" s="10">
        <f t="shared" ca="1" si="10"/>
        <v>56</v>
      </c>
      <c r="H78" s="7" t="s">
        <v>44</v>
      </c>
      <c r="I78" s="11">
        <v>12990</v>
      </c>
      <c r="J78" s="11">
        <f>IFERROR(INDEX(Catalogo_Planes_PIMS!$C$5:$C$7,MATCH(H78,Catalogo_Planes_PIMS!$B$5:$B$7,0)),"")</f>
        <v>12990</v>
      </c>
      <c r="K78" s="7" t="str">
        <f ca="1">IF(P78&lt;&gt;"OK","RECHAZADO_DATOS_INCOMPLETOS",IF(R78="DUPLICADO","RECHAZADO_ID_DUPLICADO",IF(Q78="NO","RECHAZADO_PLAN_NO_CATALOGADO",IF(OR(G78="",G78&lt;IFERROR(INDEX(Catalogo_Planes_PIMS!$D$5:$D$7,MATCH(H78,Catalogo_Planes_PIMS!$B$5:$B$7,0)),18),G78&gt;IFERROR(INDEX(Catalogo_Planes_PIMS!$E$5:$E$7,MATCH(H78,Catalogo_Planes_PIMS!$B$5:$B$7,0)),65)),"RECHAZADO_ELEGIBILIDAD",IF(N78="NO","RECHAZADO_RUT_INVALIDO",IF(OR(J78="",I78&lt;&gt;J78),"RECHAZADO_DESCALCE_PRIMA","APROBADO_CARGA_PIMS"))))))</f>
        <v>RECHAZADO_RUT_INVALIDO</v>
      </c>
      <c r="L78" s="7" t="str">
        <f t="shared" ca="1" si="11"/>
        <v>RUT con formato o dígito verificador inválido</v>
      </c>
      <c r="M78" s="12" t="str">
        <f t="shared" si="12"/>
        <v>217986781</v>
      </c>
      <c r="N78" s="13" t="str">
        <f>IF(OR(D78="",ISERROR(FIND("-",TRIM(D78))),MID(TRIM(D78),LEN(TRIM(D78))-1,1)&lt;&gt;"-",LEN(M78)&lt;8,LEN(M78)&gt;9,NOT(ISNUMBER(--LEFT(M78,LEN(M78)-1))),NOT(OR(RIGHT(M78,1)="K",IFERROR(ISNUMBER(--RIGHT(M78,1)),FALSE())))),"NO",IF(RIGHT(M78,1)=MID("0K987654321",MOD(SUMPRODUCT(--MID(RIGHT("00000000"&amp;LEFT(M78,LEN(M78)-1),8),{1,2,3,4,5,6,7,8},1),{3,2,7,6,5,4,3,2}),11)+1,1),"SI","NO"))</f>
        <v>NO</v>
      </c>
      <c r="O78" s="13">
        <f ca="1">IF(LEFT(K78,9)="RECHAZADO",COUNTIF($K$5:K78,"RECHAZADO*"),"")</f>
        <v>28</v>
      </c>
      <c r="P78" s="14" t="str">
        <f t="shared" ca="1" si="13"/>
        <v>OK</v>
      </c>
      <c r="Q78" s="14" t="str">
        <f>IF(COUNTIF(Catalogo_Planes_PIMS!$B$5:$B$7,H78)=1,"SI","NO")</f>
        <v>SI</v>
      </c>
      <c r="R78" s="14" t="str">
        <f t="shared" si="14"/>
        <v>OK</v>
      </c>
      <c r="S78" s="15" t="str">
        <f ca="1">IF(P78&lt;&gt;"OK","Revisar campos obligatorios, fechas y prima",IF(R78="DUPLICADO","ID_Solicitud duplicado",IF(Q78="NO","Plan no existe en catálogo",IF(AND(G78&lt;&gt;"",OR(G78&lt;IFERROR(INDEX(Catalogo_Planes_PIMS!$D$5:$D$7,MATCH(H78,Catalogo_Planes_PIMS!$B$5:$B$7,0)),18),G78&gt;IFERROR(INDEX(Catalogo_Planes_PIMS!$E$5:$E$7,MATCH(H78,Catalogo_Planes_PIMS!$B$5:$B$7,0)),65))),"Edad fuera de rango",IF(N78="NO","RUT inválido",IF(OR(J78="",I78&lt;&gt;J78),"Descalce de prima","Sin errores adicionales"))))))</f>
        <v>RUT inválido</v>
      </c>
    </row>
    <row r="79" spans="1:19" x14ac:dyDescent="0.25">
      <c r="A79" s="7" t="s">
        <v>249</v>
      </c>
      <c r="B79" s="8">
        <v>46305</v>
      </c>
      <c r="C79" s="7" t="s">
        <v>22</v>
      </c>
      <c r="D79" s="9" t="s">
        <v>250</v>
      </c>
      <c r="E79" s="9" t="s">
        <v>251</v>
      </c>
      <c r="F79" s="8">
        <v>23633</v>
      </c>
      <c r="G79" s="10">
        <f t="shared" ca="1" si="10"/>
        <v>62</v>
      </c>
      <c r="H79" s="7" t="s">
        <v>25</v>
      </c>
      <c r="I79" s="11">
        <v>18990</v>
      </c>
      <c r="J79" s="11">
        <f>IFERROR(INDEX(Catalogo_Planes_PIMS!$C$5:$C$7,MATCH(H79,Catalogo_Planes_PIMS!$B$5:$B$7,0)),"")</f>
        <v>18990</v>
      </c>
      <c r="K79" s="7" t="str">
        <f ca="1">IF(P79&lt;&gt;"OK","RECHAZADO_DATOS_INCOMPLETOS",IF(R79="DUPLICADO","RECHAZADO_ID_DUPLICADO",IF(Q79="NO","RECHAZADO_PLAN_NO_CATALOGADO",IF(OR(G79="",G79&lt;IFERROR(INDEX(Catalogo_Planes_PIMS!$D$5:$D$7,MATCH(H79,Catalogo_Planes_PIMS!$B$5:$B$7,0)),18),G79&gt;IFERROR(INDEX(Catalogo_Planes_PIMS!$E$5:$E$7,MATCH(H79,Catalogo_Planes_PIMS!$B$5:$B$7,0)),65)),"RECHAZADO_ELEGIBILIDAD",IF(N79="NO","RECHAZADO_RUT_INVALIDO",IF(OR(J79="",I79&lt;&gt;J79),"RECHAZADO_DESCALCE_PRIMA","APROBADO_CARGA_PIMS"))))))</f>
        <v>RECHAZADO_RUT_INVALIDO</v>
      </c>
      <c r="L79" s="7" t="str">
        <f t="shared" ca="1" si="11"/>
        <v>RUT con formato o dígito verificador inválido</v>
      </c>
      <c r="M79" s="12" t="str">
        <f t="shared" si="12"/>
        <v>114965650</v>
      </c>
      <c r="N79" s="13" t="str">
        <f>IF(OR(D79="",ISERROR(FIND("-",TRIM(D79))),MID(TRIM(D79),LEN(TRIM(D79))-1,1)&lt;&gt;"-",LEN(M79)&lt;8,LEN(M79)&gt;9,NOT(ISNUMBER(--LEFT(M79,LEN(M79)-1))),NOT(OR(RIGHT(M79,1)="K",IFERROR(ISNUMBER(--RIGHT(M79,1)),FALSE())))),"NO",IF(RIGHT(M79,1)=MID("0K987654321",MOD(SUMPRODUCT(--MID(RIGHT("00000000"&amp;LEFT(M79,LEN(M79)-1),8),{1,2,3,4,5,6,7,8},1),{3,2,7,6,5,4,3,2}),11)+1,1),"SI","NO"))</f>
        <v>NO</v>
      </c>
      <c r="O79" s="13">
        <f ca="1">IF(LEFT(K79,9)="RECHAZADO",COUNTIF($K$5:K79,"RECHAZADO*"),"")</f>
        <v>29</v>
      </c>
      <c r="P79" s="14" t="str">
        <f t="shared" ca="1" si="13"/>
        <v>OK</v>
      </c>
      <c r="Q79" s="14" t="str">
        <f>IF(COUNTIF(Catalogo_Planes_PIMS!$B$5:$B$7,H79)=1,"SI","NO")</f>
        <v>SI</v>
      </c>
      <c r="R79" s="14" t="str">
        <f t="shared" si="14"/>
        <v>OK</v>
      </c>
      <c r="S79" s="15" t="str">
        <f ca="1">IF(P79&lt;&gt;"OK","Revisar campos obligatorios, fechas y prima",IF(R79="DUPLICADO","ID_Solicitud duplicado",IF(Q79="NO","Plan no existe en catálogo",IF(AND(G79&lt;&gt;"",OR(G79&lt;IFERROR(INDEX(Catalogo_Planes_PIMS!$D$5:$D$7,MATCH(H79,Catalogo_Planes_PIMS!$B$5:$B$7,0)),18),G79&gt;IFERROR(INDEX(Catalogo_Planes_PIMS!$E$5:$E$7,MATCH(H79,Catalogo_Planes_PIMS!$B$5:$B$7,0)),65))),"Edad fuera de rango",IF(N79="NO","RUT inválido",IF(OR(J79="",I79&lt;&gt;J79),"Descalce de prima","Sin errores adicionales"))))))</f>
        <v>RUT inválido</v>
      </c>
    </row>
    <row r="80" spans="1:19" x14ac:dyDescent="0.25">
      <c r="A80" s="7" t="s">
        <v>252</v>
      </c>
      <c r="B80" s="8">
        <v>46305</v>
      </c>
      <c r="C80" s="7" t="s">
        <v>34</v>
      </c>
      <c r="D80" s="9" t="s">
        <v>253</v>
      </c>
      <c r="E80" s="9" t="s">
        <v>254</v>
      </c>
      <c r="F80" s="8">
        <v>26845</v>
      </c>
      <c r="G80" s="10">
        <f t="shared" ca="1" si="10"/>
        <v>53</v>
      </c>
      <c r="H80" s="7" t="s">
        <v>25</v>
      </c>
      <c r="I80" s="11">
        <v>18990</v>
      </c>
      <c r="J80" s="11">
        <f>IFERROR(INDEX(Catalogo_Planes_PIMS!$C$5:$C$7,MATCH(H80,Catalogo_Planes_PIMS!$B$5:$B$7,0)),"")</f>
        <v>18990</v>
      </c>
      <c r="K80" s="7" t="str">
        <f ca="1">IF(P80&lt;&gt;"OK","RECHAZADO_DATOS_INCOMPLETOS",IF(R80="DUPLICADO","RECHAZADO_ID_DUPLICADO",IF(Q80="NO","RECHAZADO_PLAN_NO_CATALOGADO",IF(OR(G80="",G80&lt;IFERROR(INDEX(Catalogo_Planes_PIMS!$D$5:$D$7,MATCH(H80,Catalogo_Planes_PIMS!$B$5:$B$7,0)),18),G80&gt;IFERROR(INDEX(Catalogo_Planes_PIMS!$E$5:$E$7,MATCH(H80,Catalogo_Planes_PIMS!$B$5:$B$7,0)),65)),"RECHAZADO_ELEGIBILIDAD",IF(N80="NO","RECHAZADO_RUT_INVALIDO",IF(OR(J80="",I80&lt;&gt;J80),"RECHAZADO_DESCALCE_PRIMA","APROBADO_CARGA_PIMS"))))))</f>
        <v>APROBADO_CARGA_PIMS</v>
      </c>
      <c r="L80" s="7" t="str">
        <f t="shared" ca="1" si="11"/>
        <v>Sin observaciones</v>
      </c>
      <c r="M80" s="12" t="str">
        <f t="shared" si="12"/>
        <v>140906719</v>
      </c>
      <c r="N80" s="13" t="str">
        <f>IF(OR(D80="",ISERROR(FIND("-",TRIM(D80))),MID(TRIM(D80),LEN(TRIM(D80))-1,1)&lt;&gt;"-",LEN(M80)&lt;8,LEN(M80)&gt;9,NOT(ISNUMBER(--LEFT(M80,LEN(M80)-1))),NOT(OR(RIGHT(M80,1)="K",IFERROR(ISNUMBER(--RIGHT(M80,1)),FALSE())))),"NO",IF(RIGHT(M80,1)=MID("0K987654321",MOD(SUMPRODUCT(--MID(RIGHT("00000000"&amp;LEFT(M80,LEN(M80)-1),8),{1,2,3,4,5,6,7,8},1),{3,2,7,6,5,4,3,2}),11)+1,1),"SI","NO"))</f>
        <v>SI</v>
      </c>
      <c r="O80" s="13" t="str">
        <f ca="1">IF(LEFT(K80,9)="RECHAZADO",COUNTIF($K$5:K80,"RECHAZADO*"),"")</f>
        <v/>
      </c>
      <c r="P80" s="14" t="str">
        <f t="shared" ca="1" si="13"/>
        <v>OK</v>
      </c>
      <c r="Q80" s="14" t="str">
        <f>IF(COUNTIF(Catalogo_Planes_PIMS!$B$5:$B$7,H80)=1,"SI","NO")</f>
        <v>SI</v>
      </c>
      <c r="R80" s="14" t="str">
        <f t="shared" si="14"/>
        <v>OK</v>
      </c>
      <c r="S80" s="15" t="str">
        <f ca="1">IF(P80&lt;&gt;"OK","Revisar campos obligatorios, fechas y prima",IF(R80="DUPLICADO","ID_Solicitud duplicado",IF(Q80="NO","Plan no existe en catálogo",IF(AND(G80&lt;&gt;"",OR(G80&lt;IFERROR(INDEX(Catalogo_Planes_PIMS!$D$5:$D$7,MATCH(H80,Catalogo_Planes_PIMS!$B$5:$B$7,0)),18),G80&gt;IFERROR(INDEX(Catalogo_Planes_PIMS!$E$5:$E$7,MATCH(H80,Catalogo_Planes_PIMS!$B$5:$B$7,0)),65))),"Edad fuera de rango",IF(N80="NO","RUT inválido",IF(OR(J80="",I80&lt;&gt;J80),"Descalce de prima","Sin errores adicionales"))))))</f>
        <v>Sin errores adicionales</v>
      </c>
    </row>
    <row r="81" spans="1:19" x14ac:dyDescent="0.25">
      <c r="A81" s="7" t="s">
        <v>255</v>
      </c>
      <c r="B81" s="8">
        <v>46305</v>
      </c>
      <c r="C81" s="7" t="s">
        <v>27</v>
      </c>
      <c r="D81" s="9" t="s">
        <v>256</v>
      </c>
      <c r="E81" s="9" t="s">
        <v>257</v>
      </c>
      <c r="F81" s="8">
        <v>24891</v>
      </c>
      <c r="G81" s="10">
        <f t="shared" ca="1" si="10"/>
        <v>58</v>
      </c>
      <c r="H81" s="7" t="s">
        <v>44</v>
      </c>
      <c r="I81" s="11">
        <v>12990</v>
      </c>
      <c r="J81" s="11">
        <f>IFERROR(INDEX(Catalogo_Planes_PIMS!$C$5:$C$7,MATCH(H81,Catalogo_Planes_PIMS!$B$5:$B$7,0)),"")</f>
        <v>12990</v>
      </c>
      <c r="K81" s="7" t="str">
        <f ca="1">IF(P81&lt;&gt;"OK","RECHAZADO_DATOS_INCOMPLETOS",IF(R81="DUPLICADO","RECHAZADO_ID_DUPLICADO",IF(Q81="NO","RECHAZADO_PLAN_NO_CATALOGADO",IF(OR(G81="",G81&lt;IFERROR(INDEX(Catalogo_Planes_PIMS!$D$5:$D$7,MATCH(H81,Catalogo_Planes_PIMS!$B$5:$B$7,0)),18),G81&gt;IFERROR(INDEX(Catalogo_Planes_PIMS!$E$5:$E$7,MATCH(H81,Catalogo_Planes_PIMS!$B$5:$B$7,0)),65)),"RECHAZADO_ELEGIBILIDAD",IF(N81="NO","RECHAZADO_RUT_INVALIDO",IF(OR(J81="",I81&lt;&gt;J81),"RECHAZADO_DESCALCE_PRIMA","APROBADO_CARGA_PIMS"))))))</f>
        <v>APROBADO_CARGA_PIMS</v>
      </c>
      <c r="L81" s="7" t="str">
        <f t="shared" ca="1" si="11"/>
        <v>Sin observaciones</v>
      </c>
      <c r="M81" s="12" t="str">
        <f t="shared" si="12"/>
        <v>201994810</v>
      </c>
      <c r="N81" s="13" t="str">
        <f>IF(OR(D81="",ISERROR(FIND("-",TRIM(D81))),MID(TRIM(D81),LEN(TRIM(D81))-1,1)&lt;&gt;"-",LEN(M81)&lt;8,LEN(M81)&gt;9,NOT(ISNUMBER(--LEFT(M81,LEN(M81)-1))),NOT(OR(RIGHT(M81,1)="K",IFERROR(ISNUMBER(--RIGHT(M81,1)),FALSE())))),"NO",IF(RIGHT(M81,1)=MID("0K987654321",MOD(SUMPRODUCT(--MID(RIGHT("00000000"&amp;LEFT(M81,LEN(M81)-1),8),{1,2,3,4,5,6,7,8},1),{3,2,7,6,5,4,3,2}),11)+1,1),"SI","NO"))</f>
        <v>SI</v>
      </c>
      <c r="O81" s="13" t="str">
        <f ca="1">IF(LEFT(K81,9)="RECHAZADO",COUNTIF($K$5:K81,"RECHAZADO*"),"")</f>
        <v/>
      </c>
      <c r="P81" s="14" t="str">
        <f t="shared" ca="1" si="13"/>
        <v>OK</v>
      </c>
      <c r="Q81" s="14" t="str">
        <f>IF(COUNTIF(Catalogo_Planes_PIMS!$B$5:$B$7,H81)=1,"SI","NO")</f>
        <v>SI</v>
      </c>
      <c r="R81" s="14" t="str">
        <f t="shared" si="14"/>
        <v>OK</v>
      </c>
      <c r="S81" s="15" t="str">
        <f ca="1">IF(P81&lt;&gt;"OK","Revisar campos obligatorios, fechas y prima",IF(R81="DUPLICADO","ID_Solicitud duplicado",IF(Q81="NO","Plan no existe en catálogo",IF(AND(G81&lt;&gt;"",OR(G81&lt;IFERROR(INDEX(Catalogo_Planes_PIMS!$D$5:$D$7,MATCH(H81,Catalogo_Planes_PIMS!$B$5:$B$7,0)),18),G81&gt;IFERROR(INDEX(Catalogo_Planes_PIMS!$E$5:$E$7,MATCH(H81,Catalogo_Planes_PIMS!$B$5:$B$7,0)),65))),"Edad fuera de rango",IF(N81="NO","RUT inválido",IF(OR(J81="",I81&lt;&gt;J81),"Descalce de prima","Sin errores adicionales"))))))</f>
        <v>Sin errores adicionales</v>
      </c>
    </row>
    <row r="82" spans="1:19" x14ac:dyDescent="0.25">
      <c r="A82" s="7" t="s">
        <v>258</v>
      </c>
      <c r="B82" s="8">
        <v>46305</v>
      </c>
      <c r="C82" s="7" t="s">
        <v>34</v>
      </c>
      <c r="D82" s="9" t="s">
        <v>259</v>
      </c>
      <c r="E82" s="9" t="s">
        <v>260</v>
      </c>
      <c r="F82" s="8">
        <v>17582</v>
      </c>
      <c r="G82" s="10">
        <f t="shared" ca="1" si="10"/>
        <v>78</v>
      </c>
      <c r="H82" s="7" t="s">
        <v>37</v>
      </c>
      <c r="I82" s="11">
        <v>7990</v>
      </c>
      <c r="J82" s="11">
        <f>IFERROR(INDEX(Catalogo_Planes_PIMS!$C$5:$C$7,MATCH(H82,Catalogo_Planes_PIMS!$B$5:$B$7,0)),"")</f>
        <v>7990</v>
      </c>
      <c r="K82" s="7" t="str">
        <f ca="1">IF(P82&lt;&gt;"OK","RECHAZADO_DATOS_INCOMPLETOS",IF(R82="DUPLICADO","RECHAZADO_ID_DUPLICADO",IF(Q82="NO","RECHAZADO_PLAN_NO_CATALOGADO",IF(OR(G82="",G82&lt;IFERROR(INDEX(Catalogo_Planes_PIMS!$D$5:$D$7,MATCH(H82,Catalogo_Planes_PIMS!$B$5:$B$7,0)),18),G82&gt;IFERROR(INDEX(Catalogo_Planes_PIMS!$E$5:$E$7,MATCH(H82,Catalogo_Planes_PIMS!$B$5:$B$7,0)),65)),"RECHAZADO_ELEGIBILIDAD",IF(N82="NO","RECHAZADO_RUT_INVALIDO",IF(OR(J82="",I82&lt;&gt;J82),"RECHAZADO_DESCALCE_PRIMA","APROBADO_CARGA_PIMS"))))))</f>
        <v>RECHAZADO_ELEGIBILIDAD</v>
      </c>
      <c r="L82" s="7" t="str">
        <f t="shared" ca="1" si="11"/>
        <v>Edad fuera del rango definido en catálogo</v>
      </c>
      <c r="M82" s="12" t="str">
        <f t="shared" si="12"/>
        <v>221667506</v>
      </c>
      <c r="N82" s="13" t="str">
        <f>IF(OR(D82="",ISERROR(FIND("-",TRIM(D82))),MID(TRIM(D82),LEN(TRIM(D82))-1,1)&lt;&gt;"-",LEN(M82)&lt;8,LEN(M82)&gt;9,NOT(ISNUMBER(--LEFT(M82,LEN(M82)-1))),NOT(OR(RIGHT(M82,1)="K",IFERROR(ISNUMBER(--RIGHT(M82,1)),FALSE())))),"NO",IF(RIGHT(M82,1)=MID("0K987654321",MOD(SUMPRODUCT(--MID(RIGHT("00000000"&amp;LEFT(M82,LEN(M82)-1),8),{1,2,3,4,5,6,7,8},1),{3,2,7,6,5,4,3,2}),11)+1,1),"SI","NO"))</f>
        <v>SI</v>
      </c>
      <c r="O82" s="13">
        <f ca="1">IF(LEFT(K82,9)="RECHAZADO",COUNTIF($K$5:K82,"RECHAZADO*"),"")</f>
        <v>30</v>
      </c>
      <c r="P82" s="14" t="str">
        <f t="shared" ca="1" si="13"/>
        <v>OK</v>
      </c>
      <c r="Q82" s="14" t="str">
        <f>IF(COUNTIF(Catalogo_Planes_PIMS!$B$5:$B$7,H82)=1,"SI","NO")</f>
        <v>SI</v>
      </c>
      <c r="R82" s="14" t="str">
        <f t="shared" si="14"/>
        <v>OK</v>
      </c>
      <c r="S82" s="15" t="str">
        <f ca="1">IF(P82&lt;&gt;"OK","Revisar campos obligatorios, fechas y prima",IF(R82="DUPLICADO","ID_Solicitud duplicado",IF(Q82="NO","Plan no existe en catálogo",IF(AND(G82&lt;&gt;"",OR(G82&lt;IFERROR(INDEX(Catalogo_Planes_PIMS!$D$5:$D$7,MATCH(H82,Catalogo_Planes_PIMS!$B$5:$B$7,0)),18),G82&gt;IFERROR(INDEX(Catalogo_Planes_PIMS!$E$5:$E$7,MATCH(H82,Catalogo_Planes_PIMS!$B$5:$B$7,0)),65))),"Edad fuera de rango",IF(N82="NO","RUT inválido",IF(OR(J82="",I82&lt;&gt;J82),"Descalce de prima","Sin errores adicionales"))))))</f>
        <v>Edad fuera de rango</v>
      </c>
    </row>
    <row r="83" spans="1:19" x14ac:dyDescent="0.25">
      <c r="A83" s="7" t="s">
        <v>261</v>
      </c>
      <c r="B83" s="8">
        <v>46305</v>
      </c>
      <c r="C83" s="7" t="s">
        <v>34</v>
      </c>
      <c r="D83" s="9" t="s">
        <v>262</v>
      </c>
      <c r="E83" s="9" t="s">
        <v>263</v>
      </c>
      <c r="F83" s="8">
        <v>29407</v>
      </c>
      <c r="G83" s="10">
        <f t="shared" ca="1" si="10"/>
        <v>46</v>
      </c>
      <c r="H83" s="7" t="s">
        <v>44</v>
      </c>
      <c r="I83" s="11">
        <v>12990</v>
      </c>
      <c r="J83" s="11">
        <f>IFERROR(INDEX(Catalogo_Planes_PIMS!$C$5:$C$7,MATCH(H83,Catalogo_Planes_PIMS!$B$5:$B$7,0)),"")</f>
        <v>12990</v>
      </c>
      <c r="K83" s="7" t="str">
        <f ca="1">IF(P83&lt;&gt;"OK","RECHAZADO_DATOS_INCOMPLETOS",IF(R83="DUPLICADO","RECHAZADO_ID_DUPLICADO",IF(Q83="NO","RECHAZADO_PLAN_NO_CATALOGADO",IF(OR(G83="",G83&lt;IFERROR(INDEX(Catalogo_Planes_PIMS!$D$5:$D$7,MATCH(H83,Catalogo_Planes_PIMS!$B$5:$B$7,0)),18),G83&gt;IFERROR(INDEX(Catalogo_Planes_PIMS!$E$5:$E$7,MATCH(H83,Catalogo_Planes_PIMS!$B$5:$B$7,0)),65)),"RECHAZADO_ELEGIBILIDAD",IF(N83="NO","RECHAZADO_RUT_INVALIDO",IF(OR(J83="",I83&lt;&gt;J83),"RECHAZADO_DESCALCE_PRIMA","APROBADO_CARGA_PIMS"))))))</f>
        <v>APROBADO_CARGA_PIMS</v>
      </c>
      <c r="L83" s="7" t="str">
        <f t="shared" ca="1" si="11"/>
        <v>Sin observaciones</v>
      </c>
      <c r="M83" s="12" t="str">
        <f t="shared" si="12"/>
        <v>98636927</v>
      </c>
      <c r="N83" s="13" t="str">
        <f>IF(OR(D83="",ISERROR(FIND("-",TRIM(D83))),MID(TRIM(D83),LEN(TRIM(D83))-1,1)&lt;&gt;"-",LEN(M83)&lt;8,LEN(M83)&gt;9,NOT(ISNUMBER(--LEFT(M83,LEN(M83)-1))),NOT(OR(RIGHT(M83,1)="K",IFERROR(ISNUMBER(--RIGHT(M83,1)),FALSE())))),"NO",IF(RIGHT(M83,1)=MID("0K987654321",MOD(SUMPRODUCT(--MID(RIGHT("00000000"&amp;LEFT(M83,LEN(M83)-1),8),{1,2,3,4,5,6,7,8},1),{3,2,7,6,5,4,3,2}),11)+1,1),"SI","NO"))</f>
        <v>SI</v>
      </c>
      <c r="O83" s="13" t="str">
        <f ca="1">IF(LEFT(K83,9)="RECHAZADO",COUNTIF($K$5:K83,"RECHAZADO*"),"")</f>
        <v/>
      </c>
      <c r="P83" s="14" t="str">
        <f t="shared" ca="1" si="13"/>
        <v>OK</v>
      </c>
      <c r="Q83" s="14" t="str">
        <f>IF(COUNTIF(Catalogo_Planes_PIMS!$B$5:$B$7,H83)=1,"SI","NO")</f>
        <v>SI</v>
      </c>
      <c r="R83" s="14" t="str">
        <f t="shared" si="14"/>
        <v>OK</v>
      </c>
      <c r="S83" s="15" t="str">
        <f ca="1">IF(P83&lt;&gt;"OK","Revisar campos obligatorios, fechas y prima",IF(R83="DUPLICADO","ID_Solicitud duplicado",IF(Q83="NO","Plan no existe en catálogo",IF(AND(G83&lt;&gt;"",OR(G83&lt;IFERROR(INDEX(Catalogo_Planes_PIMS!$D$5:$D$7,MATCH(H83,Catalogo_Planes_PIMS!$B$5:$B$7,0)),18),G83&gt;IFERROR(INDEX(Catalogo_Planes_PIMS!$E$5:$E$7,MATCH(H83,Catalogo_Planes_PIMS!$B$5:$B$7,0)),65))),"Edad fuera de rango",IF(N83="NO","RUT inválido",IF(OR(J83="",I83&lt;&gt;J83),"Descalce de prima","Sin errores adicionales"))))))</f>
        <v>Sin errores adicionales</v>
      </c>
    </row>
    <row r="84" spans="1:19" x14ac:dyDescent="0.25">
      <c r="A84" s="7" t="s">
        <v>264</v>
      </c>
      <c r="B84" s="8">
        <v>46305</v>
      </c>
      <c r="C84" s="7" t="s">
        <v>34</v>
      </c>
      <c r="D84" s="9" t="s">
        <v>265</v>
      </c>
      <c r="E84" s="9" t="s">
        <v>266</v>
      </c>
      <c r="F84" s="8">
        <v>27953</v>
      </c>
      <c r="G84" s="10">
        <f t="shared" ca="1" si="10"/>
        <v>50</v>
      </c>
      <c r="H84" s="7" t="s">
        <v>25</v>
      </c>
      <c r="I84" s="11">
        <v>18990</v>
      </c>
      <c r="J84" s="11">
        <f>IFERROR(INDEX(Catalogo_Planes_PIMS!$C$5:$C$7,MATCH(H84,Catalogo_Planes_PIMS!$B$5:$B$7,0)),"")</f>
        <v>18990</v>
      </c>
      <c r="K84" s="7" t="str">
        <f ca="1">IF(P84&lt;&gt;"OK","RECHAZADO_DATOS_INCOMPLETOS",IF(R84="DUPLICADO","RECHAZADO_ID_DUPLICADO",IF(Q84="NO","RECHAZADO_PLAN_NO_CATALOGADO",IF(OR(G84="",G84&lt;IFERROR(INDEX(Catalogo_Planes_PIMS!$D$5:$D$7,MATCH(H84,Catalogo_Planes_PIMS!$B$5:$B$7,0)),18),G84&gt;IFERROR(INDEX(Catalogo_Planes_PIMS!$E$5:$E$7,MATCH(H84,Catalogo_Planes_PIMS!$B$5:$B$7,0)),65)),"RECHAZADO_ELEGIBILIDAD",IF(N84="NO","RECHAZADO_RUT_INVALIDO",IF(OR(J84="",I84&lt;&gt;J84),"RECHAZADO_DESCALCE_PRIMA","APROBADO_CARGA_PIMS"))))))</f>
        <v>APROBADO_CARGA_PIMS</v>
      </c>
      <c r="L84" s="7" t="str">
        <f t="shared" ca="1" si="11"/>
        <v>Sin observaciones</v>
      </c>
      <c r="M84" s="12" t="str">
        <f t="shared" si="12"/>
        <v>150171318</v>
      </c>
      <c r="N84" s="13" t="str">
        <f>IF(OR(D84="",ISERROR(FIND("-",TRIM(D84))),MID(TRIM(D84),LEN(TRIM(D84))-1,1)&lt;&gt;"-",LEN(M84)&lt;8,LEN(M84)&gt;9,NOT(ISNUMBER(--LEFT(M84,LEN(M84)-1))),NOT(OR(RIGHT(M84,1)="K",IFERROR(ISNUMBER(--RIGHT(M84,1)),FALSE())))),"NO",IF(RIGHT(M84,1)=MID("0K987654321",MOD(SUMPRODUCT(--MID(RIGHT("00000000"&amp;LEFT(M84,LEN(M84)-1),8),{1,2,3,4,5,6,7,8},1),{3,2,7,6,5,4,3,2}),11)+1,1),"SI","NO"))</f>
        <v>SI</v>
      </c>
      <c r="O84" s="13" t="str">
        <f ca="1">IF(LEFT(K84,9)="RECHAZADO",COUNTIF($K$5:K84,"RECHAZADO*"),"")</f>
        <v/>
      </c>
      <c r="P84" s="14" t="str">
        <f t="shared" ca="1" si="13"/>
        <v>OK</v>
      </c>
      <c r="Q84" s="14" t="str">
        <f>IF(COUNTIF(Catalogo_Planes_PIMS!$B$5:$B$7,H84)=1,"SI","NO")</f>
        <v>SI</v>
      </c>
      <c r="R84" s="14" t="str">
        <f t="shared" si="14"/>
        <v>OK</v>
      </c>
      <c r="S84" s="15" t="str">
        <f ca="1">IF(P84&lt;&gt;"OK","Revisar campos obligatorios, fechas y prima",IF(R84="DUPLICADO","ID_Solicitud duplicado",IF(Q84="NO","Plan no existe en catálogo",IF(AND(G84&lt;&gt;"",OR(G84&lt;IFERROR(INDEX(Catalogo_Planes_PIMS!$D$5:$D$7,MATCH(H84,Catalogo_Planes_PIMS!$B$5:$B$7,0)),18),G84&gt;IFERROR(INDEX(Catalogo_Planes_PIMS!$E$5:$E$7,MATCH(H84,Catalogo_Planes_PIMS!$B$5:$B$7,0)),65))),"Edad fuera de rango",IF(N84="NO","RUT inválido",IF(OR(J84="",I84&lt;&gt;J84),"Descalce de prima","Sin errores adicionales"))))))</f>
        <v>Sin errores adicionales</v>
      </c>
    </row>
    <row r="85" spans="1:19" x14ac:dyDescent="0.25">
      <c r="A85" s="7" t="s">
        <v>267</v>
      </c>
      <c r="B85" s="8">
        <v>46305</v>
      </c>
      <c r="C85" s="7" t="s">
        <v>22</v>
      </c>
      <c r="D85" s="9" t="s">
        <v>268</v>
      </c>
      <c r="E85" s="9" t="s">
        <v>269</v>
      </c>
      <c r="F85" s="8">
        <v>18667</v>
      </c>
      <c r="G85" s="10">
        <f t="shared" ca="1" si="10"/>
        <v>75</v>
      </c>
      <c r="H85" s="7" t="s">
        <v>25</v>
      </c>
      <c r="I85" s="11">
        <v>18990</v>
      </c>
      <c r="J85" s="11">
        <f>IFERROR(INDEX(Catalogo_Planes_PIMS!$C$5:$C$7,MATCH(H85,Catalogo_Planes_PIMS!$B$5:$B$7,0)),"")</f>
        <v>18990</v>
      </c>
      <c r="K85" s="7" t="str">
        <f ca="1">IF(P85&lt;&gt;"OK","RECHAZADO_DATOS_INCOMPLETOS",IF(R85="DUPLICADO","RECHAZADO_ID_DUPLICADO",IF(Q85="NO","RECHAZADO_PLAN_NO_CATALOGADO",IF(OR(G85="",G85&lt;IFERROR(INDEX(Catalogo_Planes_PIMS!$D$5:$D$7,MATCH(H85,Catalogo_Planes_PIMS!$B$5:$B$7,0)),18),G85&gt;IFERROR(INDEX(Catalogo_Planes_PIMS!$E$5:$E$7,MATCH(H85,Catalogo_Planes_PIMS!$B$5:$B$7,0)),65)),"RECHAZADO_ELEGIBILIDAD",IF(N85="NO","RECHAZADO_RUT_INVALIDO",IF(OR(J85="",I85&lt;&gt;J85),"RECHAZADO_DESCALCE_PRIMA","APROBADO_CARGA_PIMS"))))))</f>
        <v>RECHAZADO_ELEGIBILIDAD</v>
      </c>
      <c r="L85" s="7" t="str">
        <f t="shared" ca="1" si="11"/>
        <v>Edad fuera del rango definido en catálogo</v>
      </c>
      <c r="M85" s="12" t="str">
        <f t="shared" si="12"/>
        <v>151632467</v>
      </c>
      <c r="N85" s="13" t="str">
        <f>IF(OR(D85="",ISERROR(FIND("-",TRIM(D85))),MID(TRIM(D85),LEN(TRIM(D85))-1,1)&lt;&gt;"-",LEN(M85)&lt;8,LEN(M85)&gt;9,NOT(ISNUMBER(--LEFT(M85,LEN(M85)-1))),NOT(OR(RIGHT(M85,1)="K",IFERROR(ISNUMBER(--RIGHT(M85,1)),FALSE())))),"NO",IF(RIGHT(M85,1)=MID("0K987654321",MOD(SUMPRODUCT(--MID(RIGHT("00000000"&amp;LEFT(M85,LEN(M85)-1),8),{1,2,3,4,5,6,7,8},1),{3,2,7,6,5,4,3,2}),11)+1,1),"SI","NO"))</f>
        <v>SI</v>
      </c>
      <c r="O85" s="13">
        <f ca="1">IF(LEFT(K85,9)="RECHAZADO",COUNTIF($K$5:K85,"RECHAZADO*"),"")</f>
        <v>31</v>
      </c>
      <c r="P85" s="14" t="str">
        <f t="shared" ca="1" si="13"/>
        <v>OK</v>
      </c>
      <c r="Q85" s="14" t="str">
        <f>IF(COUNTIF(Catalogo_Planes_PIMS!$B$5:$B$7,H85)=1,"SI","NO")</f>
        <v>SI</v>
      </c>
      <c r="R85" s="14" t="str">
        <f t="shared" si="14"/>
        <v>OK</v>
      </c>
      <c r="S85" s="15" t="str">
        <f ca="1">IF(P85&lt;&gt;"OK","Revisar campos obligatorios, fechas y prima",IF(R85="DUPLICADO","ID_Solicitud duplicado",IF(Q85="NO","Plan no existe en catálogo",IF(AND(G85&lt;&gt;"",OR(G85&lt;IFERROR(INDEX(Catalogo_Planes_PIMS!$D$5:$D$7,MATCH(H85,Catalogo_Planes_PIMS!$B$5:$B$7,0)),18),G85&gt;IFERROR(INDEX(Catalogo_Planes_PIMS!$E$5:$E$7,MATCH(H85,Catalogo_Planes_PIMS!$B$5:$B$7,0)),65))),"Edad fuera de rango",IF(N85="NO","RUT inválido",IF(OR(J85="",I85&lt;&gt;J85),"Descalce de prima","Sin errores adicionales"))))))</f>
        <v>Edad fuera de rango</v>
      </c>
    </row>
    <row r="86" spans="1:19" x14ac:dyDescent="0.25">
      <c r="A86" s="7" t="s">
        <v>270</v>
      </c>
      <c r="B86" s="8">
        <v>46305</v>
      </c>
      <c r="C86" s="7" t="s">
        <v>27</v>
      </c>
      <c r="D86" s="9" t="s">
        <v>271</v>
      </c>
      <c r="E86" s="9" t="s">
        <v>272</v>
      </c>
      <c r="F86" s="8">
        <v>24629</v>
      </c>
      <c r="G86" s="10">
        <f t="shared" ca="1" si="10"/>
        <v>59</v>
      </c>
      <c r="H86" s="7" t="s">
        <v>44</v>
      </c>
      <c r="I86" s="11">
        <v>12990</v>
      </c>
      <c r="J86" s="11">
        <f>IFERROR(INDEX(Catalogo_Planes_PIMS!$C$5:$C$7,MATCH(H86,Catalogo_Planes_PIMS!$B$5:$B$7,0)),"")</f>
        <v>12990</v>
      </c>
      <c r="K86" s="7" t="str">
        <f ca="1">IF(P86&lt;&gt;"OK","RECHAZADO_DATOS_INCOMPLETOS",IF(R86="DUPLICADO","RECHAZADO_ID_DUPLICADO",IF(Q86="NO","RECHAZADO_PLAN_NO_CATALOGADO",IF(OR(G86="",G86&lt;IFERROR(INDEX(Catalogo_Planes_PIMS!$D$5:$D$7,MATCH(H86,Catalogo_Planes_PIMS!$B$5:$B$7,0)),18),G86&gt;IFERROR(INDEX(Catalogo_Planes_PIMS!$E$5:$E$7,MATCH(H86,Catalogo_Planes_PIMS!$B$5:$B$7,0)),65)),"RECHAZADO_ELEGIBILIDAD",IF(N86="NO","RECHAZADO_RUT_INVALIDO",IF(OR(J86="",I86&lt;&gt;J86),"RECHAZADO_DESCALCE_PRIMA","APROBADO_CARGA_PIMS"))))))</f>
        <v>APROBADO_CARGA_PIMS</v>
      </c>
      <c r="L86" s="7" t="str">
        <f t="shared" ca="1" si="11"/>
        <v>Sin observaciones</v>
      </c>
      <c r="M86" s="12" t="str">
        <f t="shared" si="12"/>
        <v>180458638</v>
      </c>
      <c r="N86" s="13" t="str">
        <f>IF(OR(D86="",ISERROR(FIND("-",TRIM(D86))),MID(TRIM(D86),LEN(TRIM(D86))-1,1)&lt;&gt;"-",LEN(M86)&lt;8,LEN(M86)&gt;9,NOT(ISNUMBER(--LEFT(M86,LEN(M86)-1))),NOT(OR(RIGHT(M86,1)="K",IFERROR(ISNUMBER(--RIGHT(M86,1)),FALSE())))),"NO",IF(RIGHT(M86,1)=MID("0K987654321",MOD(SUMPRODUCT(--MID(RIGHT("00000000"&amp;LEFT(M86,LEN(M86)-1),8),{1,2,3,4,5,6,7,8},1),{3,2,7,6,5,4,3,2}),11)+1,1),"SI","NO"))</f>
        <v>SI</v>
      </c>
      <c r="O86" s="13" t="str">
        <f ca="1">IF(LEFT(K86,9)="RECHAZADO",COUNTIF($K$5:K86,"RECHAZADO*"),"")</f>
        <v/>
      </c>
      <c r="P86" s="14" t="str">
        <f t="shared" ca="1" si="13"/>
        <v>OK</v>
      </c>
      <c r="Q86" s="14" t="str">
        <f>IF(COUNTIF(Catalogo_Planes_PIMS!$B$5:$B$7,H86)=1,"SI","NO")</f>
        <v>SI</v>
      </c>
      <c r="R86" s="14" t="str">
        <f t="shared" si="14"/>
        <v>OK</v>
      </c>
      <c r="S86" s="15" t="str">
        <f ca="1">IF(P86&lt;&gt;"OK","Revisar campos obligatorios, fechas y prima",IF(R86="DUPLICADO","ID_Solicitud duplicado",IF(Q86="NO","Plan no existe en catálogo",IF(AND(G86&lt;&gt;"",OR(G86&lt;IFERROR(INDEX(Catalogo_Planes_PIMS!$D$5:$D$7,MATCH(H86,Catalogo_Planes_PIMS!$B$5:$B$7,0)),18),G86&gt;IFERROR(INDEX(Catalogo_Planes_PIMS!$E$5:$E$7,MATCH(H86,Catalogo_Planes_PIMS!$B$5:$B$7,0)),65))),"Edad fuera de rango",IF(N86="NO","RUT inválido",IF(OR(J86="",I86&lt;&gt;J86),"Descalce de prima","Sin errores adicionales"))))))</f>
        <v>Sin errores adicionales</v>
      </c>
    </row>
    <row r="87" spans="1:19" x14ac:dyDescent="0.25">
      <c r="A87" s="7" t="s">
        <v>273</v>
      </c>
      <c r="B87" s="8">
        <v>46305</v>
      </c>
      <c r="C87" s="7" t="s">
        <v>22</v>
      </c>
      <c r="D87" s="9" t="s">
        <v>274</v>
      </c>
      <c r="E87" s="9" t="s">
        <v>275</v>
      </c>
      <c r="F87" s="8">
        <v>24575</v>
      </c>
      <c r="G87" s="10">
        <f t="shared" ca="1" si="10"/>
        <v>59</v>
      </c>
      <c r="H87" s="7" t="s">
        <v>44</v>
      </c>
      <c r="I87" s="11">
        <v>12990</v>
      </c>
      <c r="J87" s="11">
        <f>IFERROR(INDEX(Catalogo_Planes_PIMS!$C$5:$C$7,MATCH(H87,Catalogo_Planes_PIMS!$B$5:$B$7,0)),"")</f>
        <v>12990</v>
      </c>
      <c r="K87" s="7" t="str">
        <f ca="1">IF(P87&lt;&gt;"OK","RECHAZADO_DATOS_INCOMPLETOS",IF(R87="DUPLICADO","RECHAZADO_ID_DUPLICADO",IF(Q87="NO","RECHAZADO_PLAN_NO_CATALOGADO",IF(OR(G87="",G87&lt;IFERROR(INDEX(Catalogo_Planes_PIMS!$D$5:$D$7,MATCH(H87,Catalogo_Planes_PIMS!$B$5:$B$7,0)),18),G87&gt;IFERROR(INDEX(Catalogo_Planes_PIMS!$E$5:$E$7,MATCH(H87,Catalogo_Planes_PIMS!$B$5:$B$7,0)),65)),"RECHAZADO_ELEGIBILIDAD",IF(N87="NO","RECHAZADO_RUT_INVALIDO",IF(OR(J87="",I87&lt;&gt;J87),"RECHAZADO_DESCALCE_PRIMA","APROBADO_CARGA_PIMS"))))))</f>
        <v>APROBADO_CARGA_PIMS</v>
      </c>
      <c r="L87" s="7" t="str">
        <f t="shared" ca="1" si="11"/>
        <v>Sin observaciones</v>
      </c>
      <c r="M87" s="12" t="str">
        <f t="shared" si="12"/>
        <v>145515688</v>
      </c>
      <c r="N87" s="13" t="str">
        <f>IF(OR(D87="",ISERROR(FIND("-",TRIM(D87))),MID(TRIM(D87),LEN(TRIM(D87))-1,1)&lt;&gt;"-",LEN(M87)&lt;8,LEN(M87)&gt;9,NOT(ISNUMBER(--LEFT(M87,LEN(M87)-1))),NOT(OR(RIGHT(M87,1)="K",IFERROR(ISNUMBER(--RIGHT(M87,1)),FALSE())))),"NO",IF(RIGHT(M87,1)=MID("0K987654321",MOD(SUMPRODUCT(--MID(RIGHT("00000000"&amp;LEFT(M87,LEN(M87)-1),8),{1,2,3,4,5,6,7,8},1),{3,2,7,6,5,4,3,2}),11)+1,1),"SI","NO"))</f>
        <v>SI</v>
      </c>
      <c r="O87" s="13" t="str">
        <f ca="1">IF(LEFT(K87,9)="RECHAZADO",COUNTIF($K$5:K87,"RECHAZADO*"),"")</f>
        <v/>
      </c>
      <c r="P87" s="14" t="str">
        <f t="shared" ca="1" si="13"/>
        <v>OK</v>
      </c>
      <c r="Q87" s="14" t="str">
        <f>IF(COUNTIF(Catalogo_Planes_PIMS!$B$5:$B$7,H87)=1,"SI","NO")</f>
        <v>SI</v>
      </c>
      <c r="R87" s="14" t="str">
        <f t="shared" si="14"/>
        <v>OK</v>
      </c>
      <c r="S87" s="15" t="str">
        <f ca="1">IF(P87&lt;&gt;"OK","Revisar campos obligatorios, fechas y prima",IF(R87="DUPLICADO","ID_Solicitud duplicado",IF(Q87="NO","Plan no existe en catálogo",IF(AND(G87&lt;&gt;"",OR(G87&lt;IFERROR(INDEX(Catalogo_Planes_PIMS!$D$5:$D$7,MATCH(H87,Catalogo_Planes_PIMS!$B$5:$B$7,0)),18),G87&gt;IFERROR(INDEX(Catalogo_Planes_PIMS!$E$5:$E$7,MATCH(H87,Catalogo_Planes_PIMS!$B$5:$B$7,0)),65))),"Edad fuera de rango",IF(N87="NO","RUT inválido",IF(OR(J87="",I87&lt;&gt;J87),"Descalce de prima","Sin errores adicionales"))))))</f>
        <v>Sin errores adicionales</v>
      </c>
    </row>
    <row r="88" spans="1:19" x14ac:dyDescent="0.25">
      <c r="A88" s="7" t="s">
        <v>276</v>
      </c>
      <c r="B88" s="8">
        <v>46306</v>
      </c>
      <c r="C88" s="7" t="s">
        <v>22</v>
      </c>
      <c r="D88" s="9" t="s">
        <v>277</v>
      </c>
      <c r="E88" s="9" t="s">
        <v>278</v>
      </c>
      <c r="F88" s="8">
        <v>24838</v>
      </c>
      <c r="G88" s="10">
        <f t="shared" ca="1" si="10"/>
        <v>58</v>
      </c>
      <c r="H88" s="7" t="s">
        <v>25</v>
      </c>
      <c r="I88" s="11">
        <v>15990</v>
      </c>
      <c r="J88" s="11">
        <f>IFERROR(INDEX(Catalogo_Planes_PIMS!$C$5:$C$7,MATCH(H88,Catalogo_Planes_PIMS!$B$5:$B$7,0)),"")</f>
        <v>18990</v>
      </c>
      <c r="K88" s="7" t="str">
        <f ca="1">IF(P88&lt;&gt;"OK","RECHAZADO_DATOS_INCOMPLETOS",IF(R88="DUPLICADO","RECHAZADO_ID_DUPLICADO",IF(Q88="NO","RECHAZADO_PLAN_NO_CATALOGADO",IF(OR(G88="",G88&lt;IFERROR(INDEX(Catalogo_Planes_PIMS!$D$5:$D$7,MATCH(H88,Catalogo_Planes_PIMS!$B$5:$B$7,0)),18),G88&gt;IFERROR(INDEX(Catalogo_Planes_PIMS!$E$5:$E$7,MATCH(H88,Catalogo_Planes_PIMS!$B$5:$B$7,0)),65)),"RECHAZADO_ELEGIBILIDAD",IF(N88="NO","RECHAZADO_RUT_INVALIDO",IF(OR(J88="",I88&lt;&gt;J88),"RECHAZADO_DESCALCE_PRIMA","APROBADO_CARGA_PIMS"))))))</f>
        <v>RECHAZADO_DESCALCE_PRIMA</v>
      </c>
      <c r="L88" s="7" t="str">
        <f t="shared" ca="1" si="11"/>
        <v>Prima informada no coincide con tarifa oficial PIMS</v>
      </c>
      <c r="M88" s="12" t="str">
        <f t="shared" si="12"/>
        <v>237942922</v>
      </c>
      <c r="N88" s="13" t="str">
        <f>IF(OR(D88="",ISERROR(FIND("-",TRIM(D88))),MID(TRIM(D88),LEN(TRIM(D88))-1,1)&lt;&gt;"-",LEN(M88)&lt;8,LEN(M88)&gt;9,NOT(ISNUMBER(--LEFT(M88,LEN(M88)-1))),NOT(OR(RIGHT(M88,1)="K",IFERROR(ISNUMBER(--RIGHT(M88,1)),FALSE())))),"NO",IF(RIGHT(M88,1)=MID("0K987654321",MOD(SUMPRODUCT(--MID(RIGHT("00000000"&amp;LEFT(M88,LEN(M88)-1),8),{1,2,3,4,5,6,7,8},1),{3,2,7,6,5,4,3,2}),11)+1,1),"SI","NO"))</f>
        <v>SI</v>
      </c>
      <c r="O88" s="13">
        <f ca="1">IF(LEFT(K88,9)="RECHAZADO",COUNTIF($K$5:K88,"RECHAZADO*"),"")</f>
        <v>32</v>
      </c>
      <c r="P88" s="14" t="str">
        <f t="shared" ca="1" si="13"/>
        <v>OK</v>
      </c>
      <c r="Q88" s="14" t="str">
        <f>IF(COUNTIF(Catalogo_Planes_PIMS!$B$5:$B$7,H88)=1,"SI","NO")</f>
        <v>SI</v>
      </c>
      <c r="R88" s="14" t="str">
        <f t="shared" si="14"/>
        <v>OK</v>
      </c>
      <c r="S88" s="15" t="str">
        <f ca="1">IF(P88&lt;&gt;"OK","Revisar campos obligatorios, fechas y prima",IF(R88="DUPLICADO","ID_Solicitud duplicado",IF(Q88="NO","Plan no existe en catálogo",IF(AND(G88&lt;&gt;"",OR(G88&lt;IFERROR(INDEX(Catalogo_Planes_PIMS!$D$5:$D$7,MATCH(H88,Catalogo_Planes_PIMS!$B$5:$B$7,0)),18),G88&gt;IFERROR(INDEX(Catalogo_Planes_PIMS!$E$5:$E$7,MATCH(H88,Catalogo_Planes_PIMS!$B$5:$B$7,0)),65))),"Edad fuera de rango",IF(N88="NO","RUT inválido",IF(OR(J88="",I88&lt;&gt;J88),"Descalce de prima","Sin errores adicionales"))))))</f>
        <v>Descalce de prima</v>
      </c>
    </row>
    <row r="89" spans="1:19" x14ac:dyDescent="0.25">
      <c r="A89" s="7" t="s">
        <v>279</v>
      </c>
      <c r="B89" s="8">
        <v>46306</v>
      </c>
      <c r="C89" s="7" t="s">
        <v>22</v>
      </c>
      <c r="D89" s="9" t="s">
        <v>280</v>
      </c>
      <c r="E89" s="9" t="s">
        <v>281</v>
      </c>
      <c r="F89" s="8">
        <v>36752</v>
      </c>
      <c r="G89" s="10">
        <f t="shared" ca="1" si="10"/>
        <v>26</v>
      </c>
      <c r="H89" s="7" t="s">
        <v>37</v>
      </c>
      <c r="I89" s="11">
        <v>7990</v>
      </c>
      <c r="J89" s="11">
        <f>IFERROR(INDEX(Catalogo_Planes_PIMS!$C$5:$C$7,MATCH(H89,Catalogo_Planes_PIMS!$B$5:$B$7,0)),"")</f>
        <v>7990</v>
      </c>
      <c r="K89" s="7" t="str">
        <f ca="1">IF(P89&lt;&gt;"OK","RECHAZADO_DATOS_INCOMPLETOS",IF(R89="DUPLICADO","RECHAZADO_ID_DUPLICADO",IF(Q89="NO","RECHAZADO_PLAN_NO_CATALOGADO",IF(OR(G89="",G89&lt;IFERROR(INDEX(Catalogo_Planes_PIMS!$D$5:$D$7,MATCH(H89,Catalogo_Planes_PIMS!$B$5:$B$7,0)),18),G89&gt;IFERROR(INDEX(Catalogo_Planes_PIMS!$E$5:$E$7,MATCH(H89,Catalogo_Planes_PIMS!$B$5:$B$7,0)),65)),"RECHAZADO_ELEGIBILIDAD",IF(N89="NO","RECHAZADO_RUT_INVALIDO",IF(OR(J89="",I89&lt;&gt;J89),"RECHAZADO_DESCALCE_PRIMA","APROBADO_CARGA_PIMS"))))))</f>
        <v>APROBADO_CARGA_PIMS</v>
      </c>
      <c r="L89" s="7" t="str">
        <f t="shared" ca="1" si="11"/>
        <v>Sin observaciones</v>
      </c>
      <c r="M89" s="12" t="str">
        <f t="shared" si="12"/>
        <v>237045777</v>
      </c>
      <c r="N89" s="13" t="str">
        <f>IF(OR(D89="",ISERROR(FIND("-",TRIM(D89))),MID(TRIM(D89),LEN(TRIM(D89))-1,1)&lt;&gt;"-",LEN(M89)&lt;8,LEN(M89)&gt;9,NOT(ISNUMBER(--LEFT(M89,LEN(M89)-1))),NOT(OR(RIGHT(M89,1)="K",IFERROR(ISNUMBER(--RIGHT(M89,1)),FALSE())))),"NO",IF(RIGHT(M89,1)=MID("0K987654321",MOD(SUMPRODUCT(--MID(RIGHT("00000000"&amp;LEFT(M89,LEN(M89)-1),8),{1,2,3,4,5,6,7,8},1),{3,2,7,6,5,4,3,2}),11)+1,1),"SI","NO"))</f>
        <v>SI</v>
      </c>
      <c r="O89" s="13" t="str">
        <f ca="1">IF(LEFT(K89,9)="RECHAZADO",COUNTIF($K$5:K89,"RECHAZADO*"),"")</f>
        <v/>
      </c>
      <c r="P89" s="14" t="str">
        <f t="shared" ca="1" si="13"/>
        <v>OK</v>
      </c>
      <c r="Q89" s="14" t="str">
        <f>IF(COUNTIF(Catalogo_Planes_PIMS!$B$5:$B$7,H89)=1,"SI","NO")</f>
        <v>SI</v>
      </c>
      <c r="R89" s="14" t="str">
        <f t="shared" si="14"/>
        <v>OK</v>
      </c>
      <c r="S89" s="15" t="str">
        <f ca="1">IF(P89&lt;&gt;"OK","Revisar campos obligatorios, fechas y prima",IF(R89="DUPLICADO","ID_Solicitud duplicado",IF(Q89="NO","Plan no existe en catálogo",IF(AND(G89&lt;&gt;"",OR(G89&lt;IFERROR(INDEX(Catalogo_Planes_PIMS!$D$5:$D$7,MATCH(H89,Catalogo_Planes_PIMS!$B$5:$B$7,0)),18),G89&gt;IFERROR(INDEX(Catalogo_Planes_PIMS!$E$5:$E$7,MATCH(H89,Catalogo_Planes_PIMS!$B$5:$B$7,0)),65))),"Edad fuera de rango",IF(N89="NO","RUT inválido",IF(OR(J89="",I89&lt;&gt;J89),"Descalce de prima","Sin errores adicionales"))))))</f>
        <v>Sin errores adicionales</v>
      </c>
    </row>
    <row r="90" spans="1:19" x14ac:dyDescent="0.25">
      <c r="A90" s="7" t="s">
        <v>282</v>
      </c>
      <c r="B90" s="8">
        <v>46306</v>
      </c>
      <c r="C90" s="7" t="s">
        <v>27</v>
      </c>
      <c r="D90" s="9" t="s">
        <v>283</v>
      </c>
      <c r="E90" s="9" t="s">
        <v>284</v>
      </c>
      <c r="F90" s="8">
        <v>24144</v>
      </c>
      <c r="G90" s="10">
        <f t="shared" ca="1" si="10"/>
        <v>60</v>
      </c>
      <c r="H90" s="7" t="s">
        <v>37</v>
      </c>
      <c r="I90" s="11">
        <v>7990</v>
      </c>
      <c r="J90" s="11">
        <f>IFERROR(INDEX(Catalogo_Planes_PIMS!$C$5:$C$7,MATCH(H90,Catalogo_Planes_PIMS!$B$5:$B$7,0)),"")</f>
        <v>7990</v>
      </c>
      <c r="K90" s="7" t="str">
        <f ca="1">IF(P90&lt;&gt;"OK","RECHAZADO_DATOS_INCOMPLETOS",IF(R90="DUPLICADO","RECHAZADO_ID_DUPLICADO",IF(Q90="NO","RECHAZADO_PLAN_NO_CATALOGADO",IF(OR(G90="",G90&lt;IFERROR(INDEX(Catalogo_Planes_PIMS!$D$5:$D$7,MATCH(H90,Catalogo_Planes_PIMS!$B$5:$B$7,0)),18),G90&gt;IFERROR(INDEX(Catalogo_Planes_PIMS!$E$5:$E$7,MATCH(H90,Catalogo_Planes_PIMS!$B$5:$B$7,0)),65)),"RECHAZADO_ELEGIBILIDAD",IF(N90="NO","RECHAZADO_RUT_INVALIDO",IF(OR(J90="",I90&lt;&gt;J90),"RECHAZADO_DESCALCE_PRIMA","APROBADO_CARGA_PIMS"))))))</f>
        <v>APROBADO_CARGA_PIMS</v>
      </c>
      <c r="L90" s="7" t="str">
        <f t="shared" ca="1" si="11"/>
        <v>Sin observaciones</v>
      </c>
      <c r="M90" s="12" t="str">
        <f t="shared" si="12"/>
        <v>220601781</v>
      </c>
      <c r="N90" s="13" t="str">
        <f>IF(OR(D90="",ISERROR(FIND("-",TRIM(D90))),MID(TRIM(D90),LEN(TRIM(D90))-1,1)&lt;&gt;"-",LEN(M90)&lt;8,LEN(M90)&gt;9,NOT(ISNUMBER(--LEFT(M90,LEN(M90)-1))),NOT(OR(RIGHT(M90,1)="K",IFERROR(ISNUMBER(--RIGHT(M90,1)),FALSE())))),"NO",IF(RIGHT(M90,1)=MID("0K987654321",MOD(SUMPRODUCT(--MID(RIGHT("00000000"&amp;LEFT(M90,LEN(M90)-1),8),{1,2,3,4,5,6,7,8},1),{3,2,7,6,5,4,3,2}),11)+1,1),"SI","NO"))</f>
        <v>SI</v>
      </c>
      <c r="O90" s="13" t="str">
        <f ca="1">IF(LEFT(K90,9)="RECHAZADO",COUNTIF($K$5:K90,"RECHAZADO*"),"")</f>
        <v/>
      </c>
      <c r="P90" s="14" t="str">
        <f t="shared" ca="1" si="13"/>
        <v>OK</v>
      </c>
      <c r="Q90" s="14" t="str">
        <f>IF(COUNTIF(Catalogo_Planes_PIMS!$B$5:$B$7,H90)=1,"SI","NO")</f>
        <v>SI</v>
      </c>
      <c r="R90" s="14" t="str">
        <f t="shared" si="14"/>
        <v>OK</v>
      </c>
      <c r="S90" s="15" t="str">
        <f ca="1">IF(P90&lt;&gt;"OK","Revisar campos obligatorios, fechas y prima",IF(R90="DUPLICADO","ID_Solicitud duplicado",IF(Q90="NO","Plan no existe en catálogo",IF(AND(G90&lt;&gt;"",OR(G90&lt;IFERROR(INDEX(Catalogo_Planes_PIMS!$D$5:$D$7,MATCH(H90,Catalogo_Planes_PIMS!$B$5:$B$7,0)),18),G90&gt;IFERROR(INDEX(Catalogo_Planes_PIMS!$E$5:$E$7,MATCH(H90,Catalogo_Planes_PIMS!$B$5:$B$7,0)),65))),"Edad fuera de rango",IF(N90="NO","RUT inválido",IF(OR(J90="",I90&lt;&gt;J90),"Descalce de prima","Sin errores adicionales"))))))</f>
        <v>Sin errores adicionales</v>
      </c>
    </row>
    <row r="91" spans="1:19" x14ac:dyDescent="0.25">
      <c r="A91" s="7" t="s">
        <v>285</v>
      </c>
      <c r="B91" s="8">
        <v>46306</v>
      </c>
      <c r="C91" s="7" t="s">
        <v>34</v>
      </c>
      <c r="D91" s="9" t="s">
        <v>286</v>
      </c>
      <c r="E91" s="9" t="s">
        <v>287</v>
      </c>
      <c r="F91" s="8">
        <v>35127</v>
      </c>
      <c r="G91" s="10">
        <f t="shared" ca="1" si="10"/>
        <v>30</v>
      </c>
      <c r="H91" s="7" t="s">
        <v>44</v>
      </c>
      <c r="I91" s="11">
        <v>12990</v>
      </c>
      <c r="J91" s="11">
        <f>IFERROR(INDEX(Catalogo_Planes_PIMS!$C$5:$C$7,MATCH(H91,Catalogo_Planes_PIMS!$B$5:$B$7,0)),"")</f>
        <v>12990</v>
      </c>
      <c r="K91" s="7" t="str">
        <f ca="1">IF(P91&lt;&gt;"OK","RECHAZADO_DATOS_INCOMPLETOS",IF(R91="DUPLICADO","RECHAZADO_ID_DUPLICADO",IF(Q91="NO","RECHAZADO_PLAN_NO_CATALOGADO",IF(OR(G91="",G91&lt;IFERROR(INDEX(Catalogo_Planes_PIMS!$D$5:$D$7,MATCH(H91,Catalogo_Planes_PIMS!$B$5:$B$7,0)),18),G91&gt;IFERROR(INDEX(Catalogo_Planes_PIMS!$E$5:$E$7,MATCH(H91,Catalogo_Planes_PIMS!$B$5:$B$7,0)),65)),"RECHAZADO_ELEGIBILIDAD",IF(N91="NO","RECHAZADO_RUT_INVALIDO",IF(OR(J91="",I91&lt;&gt;J91),"RECHAZADO_DESCALCE_PRIMA","APROBADO_CARGA_PIMS"))))))</f>
        <v>APROBADO_CARGA_PIMS</v>
      </c>
      <c r="L91" s="7" t="str">
        <f t="shared" ca="1" si="11"/>
        <v>Sin observaciones</v>
      </c>
      <c r="M91" s="12" t="str">
        <f t="shared" si="12"/>
        <v>90822667</v>
      </c>
      <c r="N91" s="13" t="str">
        <f>IF(OR(D91="",ISERROR(FIND("-",TRIM(D91))),MID(TRIM(D91),LEN(TRIM(D91))-1,1)&lt;&gt;"-",LEN(M91)&lt;8,LEN(M91)&gt;9,NOT(ISNUMBER(--LEFT(M91,LEN(M91)-1))),NOT(OR(RIGHT(M91,1)="K",IFERROR(ISNUMBER(--RIGHT(M91,1)),FALSE())))),"NO",IF(RIGHT(M91,1)=MID("0K987654321",MOD(SUMPRODUCT(--MID(RIGHT("00000000"&amp;LEFT(M91,LEN(M91)-1),8),{1,2,3,4,5,6,7,8},1),{3,2,7,6,5,4,3,2}),11)+1,1),"SI","NO"))</f>
        <v>SI</v>
      </c>
      <c r="O91" s="13" t="str">
        <f ca="1">IF(LEFT(K91,9)="RECHAZADO",COUNTIF($K$5:K91,"RECHAZADO*"),"")</f>
        <v/>
      </c>
      <c r="P91" s="14" t="str">
        <f t="shared" ca="1" si="13"/>
        <v>OK</v>
      </c>
      <c r="Q91" s="14" t="str">
        <f>IF(COUNTIF(Catalogo_Planes_PIMS!$B$5:$B$7,H91)=1,"SI","NO")</f>
        <v>SI</v>
      </c>
      <c r="R91" s="14" t="str">
        <f t="shared" si="14"/>
        <v>OK</v>
      </c>
      <c r="S91" s="15" t="str">
        <f ca="1">IF(P91&lt;&gt;"OK","Revisar campos obligatorios, fechas y prima",IF(R91="DUPLICADO","ID_Solicitud duplicado",IF(Q91="NO","Plan no existe en catálogo",IF(AND(G91&lt;&gt;"",OR(G91&lt;IFERROR(INDEX(Catalogo_Planes_PIMS!$D$5:$D$7,MATCH(H91,Catalogo_Planes_PIMS!$B$5:$B$7,0)),18),G91&gt;IFERROR(INDEX(Catalogo_Planes_PIMS!$E$5:$E$7,MATCH(H91,Catalogo_Planes_PIMS!$B$5:$B$7,0)),65))),"Edad fuera de rango",IF(N91="NO","RUT inválido",IF(OR(J91="",I91&lt;&gt;J91),"Descalce de prima","Sin errores adicionales"))))))</f>
        <v>Sin errores adicionales</v>
      </c>
    </row>
    <row r="92" spans="1:19" x14ac:dyDescent="0.25">
      <c r="A92" s="7" t="s">
        <v>288</v>
      </c>
      <c r="B92" s="8">
        <v>46306</v>
      </c>
      <c r="C92" s="7" t="s">
        <v>34</v>
      </c>
      <c r="D92" s="9" t="s">
        <v>289</v>
      </c>
      <c r="E92" s="9" t="s">
        <v>290</v>
      </c>
      <c r="F92" s="8">
        <v>35791</v>
      </c>
      <c r="G92" s="10">
        <f t="shared" ca="1" si="10"/>
        <v>28</v>
      </c>
      <c r="H92" s="7" t="s">
        <v>37</v>
      </c>
      <c r="I92" s="11">
        <v>12990</v>
      </c>
      <c r="J92" s="11">
        <f>IFERROR(INDEX(Catalogo_Planes_PIMS!$C$5:$C$7,MATCH(H92,Catalogo_Planes_PIMS!$B$5:$B$7,0)),"")</f>
        <v>7990</v>
      </c>
      <c r="K92" s="7" t="str">
        <f ca="1">IF(P92&lt;&gt;"OK","RECHAZADO_DATOS_INCOMPLETOS",IF(R92="DUPLICADO","RECHAZADO_ID_DUPLICADO",IF(Q92="NO","RECHAZADO_PLAN_NO_CATALOGADO",IF(OR(G92="",G92&lt;IFERROR(INDEX(Catalogo_Planes_PIMS!$D$5:$D$7,MATCH(H92,Catalogo_Planes_PIMS!$B$5:$B$7,0)),18),G92&gt;IFERROR(INDEX(Catalogo_Planes_PIMS!$E$5:$E$7,MATCH(H92,Catalogo_Planes_PIMS!$B$5:$B$7,0)),65)),"RECHAZADO_ELEGIBILIDAD",IF(N92="NO","RECHAZADO_RUT_INVALIDO",IF(OR(J92="",I92&lt;&gt;J92),"RECHAZADO_DESCALCE_PRIMA","APROBADO_CARGA_PIMS"))))))</f>
        <v>RECHAZADO_RUT_INVALIDO</v>
      </c>
      <c r="L92" s="7" t="str">
        <f t="shared" ca="1" si="11"/>
        <v>RUT con formato o dígito verificador inválido</v>
      </c>
      <c r="M92" s="12" t="str">
        <f t="shared" si="12"/>
        <v>1001562</v>
      </c>
      <c r="N92" s="13" t="str">
        <f>IF(OR(D92="",ISERROR(FIND("-",TRIM(D92))),MID(TRIM(D92),LEN(TRIM(D92))-1,1)&lt;&gt;"-",LEN(M92)&lt;8,LEN(M92)&gt;9,NOT(ISNUMBER(--LEFT(M92,LEN(M92)-1))),NOT(OR(RIGHT(M92,1)="K",IFERROR(ISNUMBER(--RIGHT(M92,1)),FALSE())))),"NO",IF(RIGHT(M92,1)=MID("0K987654321",MOD(SUMPRODUCT(--MID(RIGHT("00000000"&amp;LEFT(M92,LEN(M92)-1),8),{1,2,3,4,5,6,7,8},1),{3,2,7,6,5,4,3,2}),11)+1,1),"SI","NO"))</f>
        <v>NO</v>
      </c>
      <c r="O92" s="13">
        <f ca="1">IF(LEFT(K92,9)="RECHAZADO",COUNTIF($K$5:K92,"RECHAZADO*"),"")</f>
        <v>33</v>
      </c>
      <c r="P92" s="14" t="str">
        <f t="shared" ca="1" si="13"/>
        <v>OK</v>
      </c>
      <c r="Q92" s="14" t="str">
        <f>IF(COUNTIF(Catalogo_Planes_PIMS!$B$5:$B$7,H92)=1,"SI","NO")</f>
        <v>SI</v>
      </c>
      <c r="R92" s="14" t="str">
        <f t="shared" si="14"/>
        <v>OK</v>
      </c>
      <c r="S92" s="15" t="str">
        <f ca="1">IF(P92&lt;&gt;"OK","Revisar campos obligatorios, fechas y prima",IF(R92="DUPLICADO","ID_Solicitud duplicado",IF(Q92="NO","Plan no existe en catálogo",IF(AND(G92&lt;&gt;"",OR(G92&lt;IFERROR(INDEX(Catalogo_Planes_PIMS!$D$5:$D$7,MATCH(H92,Catalogo_Planes_PIMS!$B$5:$B$7,0)),18),G92&gt;IFERROR(INDEX(Catalogo_Planes_PIMS!$E$5:$E$7,MATCH(H92,Catalogo_Planes_PIMS!$B$5:$B$7,0)),65))),"Edad fuera de rango",IF(N92="NO","RUT inválido",IF(OR(J92="",I92&lt;&gt;J92),"Descalce de prima","Sin errores adicionales"))))))</f>
        <v>RUT inválido</v>
      </c>
    </row>
    <row r="93" spans="1:19" x14ac:dyDescent="0.25">
      <c r="A93" s="7" t="s">
        <v>291</v>
      </c>
      <c r="B93" s="8">
        <v>46306</v>
      </c>
      <c r="C93" s="7" t="s">
        <v>27</v>
      </c>
      <c r="D93" s="9" t="s">
        <v>292</v>
      </c>
      <c r="E93" s="9" t="s">
        <v>293</v>
      </c>
      <c r="F93" s="8">
        <v>26808</v>
      </c>
      <c r="G93" s="10">
        <f t="shared" ca="1" si="10"/>
        <v>53</v>
      </c>
      <c r="H93" s="7" t="s">
        <v>37</v>
      </c>
      <c r="I93" s="11">
        <v>5990</v>
      </c>
      <c r="J93" s="11">
        <f>IFERROR(INDEX(Catalogo_Planes_PIMS!$C$5:$C$7,MATCH(H93,Catalogo_Planes_PIMS!$B$5:$B$7,0)),"")</f>
        <v>7990</v>
      </c>
      <c r="K93" s="7" t="str">
        <f ca="1">IF(P93&lt;&gt;"OK","RECHAZADO_DATOS_INCOMPLETOS",IF(R93="DUPLICADO","RECHAZADO_ID_DUPLICADO",IF(Q93="NO","RECHAZADO_PLAN_NO_CATALOGADO",IF(OR(G93="",G93&lt;IFERROR(INDEX(Catalogo_Planes_PIMS!$D$5:$D$7,MATCH(H93,Catalogo_Planes_PIMS!$B$5:$B$7,0)),18),G93&gt;IFERROR(INDEX(Catalogo_Planes_PIMS!$E$5:$E$7,MATCH(H93,Catalogo_Planes_PIMS!$B$5:$B$7,0)),65)),"RECHAZADO_ELEGIBILIDAD",IF(N93="NO","RECHAZADO_RUT_INVALIDO",IF(OR(J93="",I93&lt;&gt;J93),"RECHAZADO_DESCALCE_PRIMA","APROBADO_CARGA_PIMS"))))))</f>
        <v>RECHAZADO_DESCALCE_PRIMA</v>
      </c>
      <c r="L93" s="7" t="str">
        <f t="shared" ca="1" si="11"/>
        <v>Prima informada no coincide con tarifa oficial PIMS</v>
      </c>
      <c r="M93" s="12" t="str">
        <f t="shared" si="12"/>
        <v>194230664</v>
      </c>
      <c r="N93" s="13" t="str">
        <f>IF(OR(D93="",ISERROR(FIND("-",TRIM(D93))),MID(TRIM(D93),LEN(TRIM(D93))-1,1)&lt;&gt;"-",LEN(M93)&lt;8,LEN(M93)&gt;9,NOT(ISNUMBER(--LEFT(M93,LEN(M93)-1))),NOT(OR(RIGHT(M93,1)="K",IFERROR(ISNUMBER(--RIGHT(M93,1)),FALSE())))),"NO",IF(RIGHT(M93,1)=MID("0K987654321",MOD(SUMPRODUCT(--MID(RIGHT("00000000"&amp;LEFT(M93,LEN(M93)-1),8),{1,2,3,4,5,6,7,8},1),{3,2,7,6,5,4,3,2}),11)+1,1),"SI","NO"))</f>
        <v>SI</v>
      </c>
      <c r="O93" s="13">
        <f ca="1">IF(LEFT(K93,9)="RECHAZADO",COUNTIF($K$5:K93,"RECHAZADO*"),"")</f>
        <v>34</v>
      </c>
      <c r="P93" s="14" t="str">
        <f t="shared" ca="1" si="13"/>
        <v>OK</v>
      </c>
      <c r="Q93" s="14" t="str">
        <f>IF(COUNTIF(Catalogo_Planes_PIMS!$B$5:$B$7,H93)=1,"SI","NO")</f>
        <v>SI</v>
      </c>
      <c r="R93" s="14" t="str">
        <f t="shared" si="14"/>
        <v>OK</v>
      </c>
      <c r="S93" s="15" t="str">
        <f ca="1">IF(P93&lt;&gt;"OK","Revisar campos obligatorios, fechas y prima",IF(R93="DUPLICADO","ID_Solicitud duplicado",IF(Q93="NO","Plan no existe en catálogo",IF(AND(G93&lt;&gt;"",OR(G93&lt;IFERROR(INDEX(Catalogo_Planes_PIMS!$D$5:$D$7,MATCH(H93,Catalogo_Planes_PIMS!$B$5:$B$7,0)),18),G93&gt;IFERROR(INDEX(Catalogo_Planes_PIMS!$E$5:$E$7,MATCH(H93,Catalogo_Planes_PIMS!$B$5:$B$7,0)),65))),"Edad fuera de rango",IF(N93="NO","RUT inválido",IF(OR(J93="",I93&lt;&gt;J93),"Descalce de prima","Sin errores adicionales"))))))</f>
        <v>Descalce de prima</v>
      </c>
    </row>
    <row r="94" spans="1:19" x14ac:dyDescent="0.25">
      <c r="A94" s="7" t="s">
        <v>294</v>
      </c>
      <c r="B94" s="8">
        <v>46306</v>
      </c>
      <c r="C94" s="7" t="s">
        <v>34</v>
      </c>
      <c r="D94" s="9" t="s">
        <v>295</v>
      </c>
      <c r="E94" s="9" t="s">
        <v>296</v>
      </c>
      <c r="F94" s="8">
        <v>26838</v>
      </c>
      <c r="G94" s="10">
        <f t="shared" ca="1" si="10"/>
        <v>53</v>
      </c>
      <c r="H94" s="7" t="s">
        <v>25</v>
      </c>
      <c r="I94" s="11">
        <v>18990</v>
      </c>
      <c r="J94" s="11">
        <f>IFERROR(INDEX(Catalogo_Planes_PIMS!$C$5:$C$7,MATCH(H94,Catalogo_Planes_PIMS!$B$5:$B$7,0)),"")</f>
        <v>18990</v>
      </c>
      <c r="K94" s="7" t="str">
        <f ca="1">IF(P94&lt;&gt;"OK","RECHAZADO_DATOS_INCOMPLETOS",IF(R94="DUPLICADO","RECHAZADO_ID_DUPLICADO",IF(Q94="NO","RECHAZADO_PLAN_NO_CATALOGADO",IF(OR(G94="",G94&lt;IFERROR(INDEX(Catalogo_Planes_PIMS!$D$5:$D$7,MATCH(H94,Catalogo_Planes_PIMS!$B$5:$B$7,0)),18),G94&gt;IFERROR(INDEX(Catalogo_Planes_PIMS!$E$5:$E$7,MATCH(H94,Catalogo_Planes_PIMS!$B$5:$B$7,0)),65)),"RECHAZADO_ELEGIBILIDAD",IF(N94="NO","RECHAZADO_RUT_INVALIDO",IF(OR(J94="",I94&lt;&gt;J94),"RECHAZADO_DESCALCE_PRIMA","APROBADO_CARGA_PIMS"))))))</f>
        <v>APROBADO_CARGA_PIMS</v>
      </c>
      <c r="L94" s="7" t="str">
        <f t="shared" ca="1" si="11"/>
        <v>Sin observaciones</v>
      </c>
      <c r="M94" s="12" t="str">
        <f t="shared" si="12"/>
        <v>207143871</v>
      </c>
      <c r="N94" s="13" t="str">
        <f>IF(OR(D94="",ISERROR(FIND("-",TRIM(D94))),MID(TRIM(D94),LEN(TRIM(D94))-1,1)&lt;&gt;"-",LEN(M94)&lt;8,LEN(M94)&gt;9,NOT(ISNUMBER(--LEFT(M94,LEN(M94)-1))),NOT(OR(RIGHT(M94,1)="K",IFERROR(ISNUMBER(--RIGHT(M94,1)),FALSE())))),"NO",IF(RIGHT(M94,1)=MID("0K987654321",MOD(SUMPRODUCT(--MID(RIGHT("00000000"&amp;LEFT(M94,LEN(M94)-1),8),{1,2,3,4,5,6,7,8},1),{3,2,7,6,5,4,3,2}),11)+1,1),"SI","NO"))</f>
        <v>SI</v>
      </c>
      <c r="O94" s="13" t="str">
        <f ca="1">IF(LEFT(K94,9)="RECHAZADO",COUNTIF($K$5:K94,"RECHAZADO*"),"")</f>
        <v/>
      </c>
      <c r="P94" s="14" t="str">
        <f t="shared" ca="1" si="13"/>
        <v>OK</v>
      </c>
      <c r="Q94" s="14" t="str">
        <f>IF(COUNTIF(Catalogo_Planes_PIMS!$B$5:$B$7,H94)=1,"SI","NO")</f>
        <v>SI</v>
      </c>
      <c r="R94" s="14" t="str">
        <f t="shared" si="14"/>
        <v>OK</v>
      </c>
      <c r="S94" s="15" t="str">
        <f ca="1">IF(P94&lt;&gt;"OK","Revisar campos obligatorios, fechas y prima",IF(R94="DUPLICADO","ID_Solicitud duplicado",IF(Q94="NO","Plan no existe en catálogo",IF(AND(G94&lt;&gt;"",OR(G94&lt;IFERROR(INDEX(Catalogo_Planes_PIMS!$D$5:$D$7,MATCH(H94,Catalogo_Planes_PIMS!$B$5:$B$7,0)),18),G94&gt;IFERROR(INDEX(Catalogo_Planes_PIMS!$E$5:$E$7,MATCH(H94,Catalogo_Planes_PIMS!$B$5:$B$7,0)),65))),"Edad fuera de rango",IF(N94="NO","RUT inválido",IF(OR(J94="",I94&lt;&gt;J94),"Descalce de prima","Sin errores adicionales"))))))</f>
        <v>Sin errores adicionales</v>
      </c>
    </row>
    <row r="95" spans="1:19" x14ac:dyDescent="0.25">
      <c r="A95" s="7" t="s">
        <v>297</v>
      </c>
      <c r="B95" s="8">
        <v>46306</v>
      </c>
      <c r="C95" s="7" t="s">
        <v>34</v>
      </c>
      <c r="D95" s="9" t="s">
        <v>298</v>
      </c>
      <c r="E95" s="9" t="s">
        <v>299</v>
      </c>
      <c r="F95" s="8">
        <v>19385</v>
      </c>
      <c r="G95" s="10">
        <f t="shared" ca="1" si="10"/>
        <v>73</v>
      </c>
      <c r="H95" s="7" t="s">
        <v>37</v>
      </c>
      <c r="I95" s="11">
        <v>7990</v>
      </c>
      <c r="J95" s="11">
        <f>IFERROR(INDEX(Catalogo_Planes_PIMS!$C$5:$C$7,MATCH(H95,Catalogo_Planes_PIMS!$B$5:$B$7,0)),"")</f>
        <v>7990</v>
      </c>
      <c r="K95" s="7" t="str">
        <f ca="1">IF(P95&lt;&gt;"OK","RECHAZADO_DATOS_INCOMPLETOS",IF(R95="DUPLICADO","RECHAZADO_ID_DUPLICADO",IF(Q95="NO","RECHAZADO_PLAN_NO_CATALOGADO",IF(OR(G95="",G95&lt;IFERROR(INDEX(Catalogo_Planes_PIMS!$D$5:$D$7,MATCH(H95,Catalogo_Planes_PIMS!$B$5:$B$7,0)),18),G95&gt;IFERROR(INDEX(Catalogo_Planes_PIMS!$E$5:$E$7,MATCH(H95,Catalogo_Planes_PIMS!$B$5:$B$7,0)),65)),"RECHAZADO_ELEGIBILIDAD",IF(N95="NO","RECHAZADO_RUT_INVALIDO",IF(OR(J95="",I95&lt;&gt;J95),"RECHAZADO_DESCALCE_PRIMA","APROBADO_CARGA_PIMS"))))))</f>
        <v>RECHAZADO_ELEGIBILIDAD</v>
      </c>
      <c r="L95" s="7" t="str">
        <f t="shared" ca="1" si="11"/>
        <v>Edad fuera del rango definido en catálogo</v>
      </c>
      <c r="M95" s="12" t="str">
        <f t="shared" si="12"/>
        <v>237809645</v>
      </c>
      <c r="N95" s="13" t="str">
        <f>IF(OR(D95="",ISERROR(FIND("-",TRIM(D95))),MID(TRIM(D95),LEN(TRIM(D95))-1,1)&lt;&gt;"-",LEN(M95)&lt;8,LEN(M95)&gt;9,NOT(ISNUMBER(--LEFT(M95,LEN(M95)-1))),NOT(OR(RIGHT(M95,1)="K",IFERROR(ISNUMBER(--RIGHT(M95,1)),FALSE())))),"NO",IF(RIGHT(M95,1)=MID("0K987654321",MOD(SUMPRODUCT(--MID(RIGHT("00000000"&amp;LEFT(M95,LEN(M95)-1),8),{1,2,3,4,5,6,7,8},1),{3,2,7,6,5,4,3,2}),11)+1,1),"SI","NO"))</f>
        <v>SI</v>
      </c>
      <c r="O95" s="13">
        <f ca="1">IF(LEFT(K95,9)="RECHAZADO",COUNTIF($K$5:K95,"RECHAZADO*"),"")</f>
        <v>35</v>
      </c>
      <c r="P95" s="14" t="str">
        <f t="shared" ca="1" si="13"/>
        <v>OK</v>
      </c>
      <c r="Q95" s="14" t="str">
        <f>IF(COUNTIF(Catalogo_Planes_PIMS!$B$5:$B$7,H95)=1,"SI","NO")</f>
        <v>SI</v>
      </c>
      <c r="R95" s="14" t="str">
        <f t="shared" si="14"/>
        <v>OK</v>
      </c>
      <c r="S95" s="15" t="str">
        <f ca="1">IF(P95&lt;&gt;"OK","Revisar campos obligatorios, fechas y prima",IF(R95="DUPLICADO","ID_Solicitud duplicado",IF(Q95="NO","Plan no existe en catálogo",IF(AND(G95&lt;&gt;"",OR(G95&lt;IFERROR(INDEX(Catalogo_Planes_PIMS!$D$5:$D$7,MATCH(H95,Catalogo_Planes_PIMS!$B$5:$B$7,0)),18),G95&gt;IFERROR(INDEX(Catalogo_Planes_PIMS!$E$5:$E$7,MATCH(H95,Catalogo_Planes_PIMS!$B$5:$B$7,0)),65))),"Edad fuera de rango",IF(N95="NO","RUT inválido",IF(OR(J95="",I95&lt;&gt;J95),"Descalce de prima","Sin errores adicionales"))))))</f>
        <v>Edad fuera de rango</v>
      </c>
    </row>
    <row r="96" spans="1:19" x14ac:dyDescent="0.25">
      <c r="A96" s="7" t="s">
        <v>300</v>
      </c>
      <c r="B96" s="8">
        <v>46307</v>
      </c>
      <c r="C96" s="7" t="s">
        <v>34</v>
      </c>
      <c r="D96" s="9" t="s">
        <v>301</v>
      </c>
      <c r="E96" s="9" t="s">
        <v>302</v>
      </c>
      <c r="F96" s="8">
        <v>26861</v>
      </c>
      <c r="G96" s="10">
        <f t="shared" ca="1" si="10"/>
        <v>53</v>
      </c>
      <c r="H96" s="7" t="s">
        <v>37</v>
      </c>
      <c r="I96" s="11">
        <v>7990</v>
      </c>
      <c r="J96" s="11">
        <f>IFERROR(INDEX(Catalogo_Planes_PIMS!$C$5:$C$7,MATCH(H96,Catalogo_Planes_PIMS!$B$5:$B$7,0)),"")</f>
        <v>7990</v>
      </c>
      <c r="K96" s="7" t="str">
        <f ca="1">IF(P96&lt;&gt;"OK","RECHAZADO_DATOS_INCOMPLETOS",IF(R96="DUPLICADO","RECHAZADO_ID_DUPLICADO",IF(Q96="NO","RECHAZADO_PLAN_NO_CATALOGADO",IF(OR(G96="",G96&lt;IFERROR(INDEX(Catalogo_Planes_PIMS!$D$5:$D$7,MATCH(H96,Catalogo_Planes_PIMS!$B$5:$B$7,0)),18),G96&gt;IFERROR(INDEX(Catalogo_Planes_PIMS!$E$5:$E$7,MATCH(H96,Catalogo_Planes_PIMS!$B$5:$B$7,0)),65)),"RECHAZADO_ELEGIBILIDAD",IF(N96="NO","RECHAZADO_RUT_INVALIDO",IF(OR(J96="",I96&lt;&gt;J96),"RECHAZADO_DESCALCE_PRIMA","APROBADO_CARGA_PIMS"))))))</f>
        <v>APROBADO_CARGA_PIMS</v>
      </c>
      <c r="L96" s="7" t="str">
        <f t="shared" ca="1" si="11"/>
        <v>Sin observaciones</v>
      </c>
      <c r="M96" s="12" t="str">
        <f t="shared" si="12"/>
        <v>158875624</v>
      </c>
      <c r="N96" s="13" t="str">
        <f>IF(OR(D96="",ISERROR(FIND("-",TRIM(D96))),MID(TRIM(D96),LEN(TRIM(D96))-1,1)&lt;&gt;"-",LEN(M96)&lt;8,LEN(M96)&gt;9,NOT(ISNUMBER(--LEFT(M96,LEN(M96)-1))),NOT(OR(RIGHT(M96,1)="K",IFERROR(ISNUMBER(--RIGHT(M96,1)),FALSE())))),"NO",IF(RIGHT(M96,1)=MID("0K987654321",MOD(SUMPRODUCT(--MID(RIGHT("00000000"&amp;LEFT(M96,LEN(M96)-1),8),{1,2,3,4,5,6,7,8},1),{3,2,7,6,5,4,3,2}),11)+1,1),"SI","NO"))</f>
        <v>SI</v>
      </c>
      <c r="O96" s="13" t="str">
        <f ca="1">IF(LEFT(K96,9)="RECHAZADO",COUNTIF($K$5:K96,"RECHAZADO*"),"")</f>
        <v/>
      </c>
      <c r="P96" s="14" t="str">
        <f t="shared" ca="1" si="13"/>
        <v>OK</v>
      </c>
      <c r="Q96" s="14" t="str">
        <f>IF(COUNTIF(Catalogo_Planes_PIMS!$B$5:$B$7,H96)=1,"SI","NO")</f>
        <v>SI</v>
      </c>
      <c r="R96" s="14" t="str">
        <f t="shared" si="14"/>
        <v>OK</v>
      </c>
      <c r="S96" s="15" t="str">
        <f ca="1">IF(P96&lt;&gt;"OK","Revisar campos obligatorios, fechas y prima",IF(R96="DUPLICADO","ID_Solicitud duplicado",IF(Q96="NO","Plan no existe en catálogo",IF(AND(G96&lt;&gt;"",OR(G96&lt;IFERROR(INDEX(Catalogo_Planes_PIMS!$D$5:$D$7,MATCH(H96,Catalogo_Planes_PIMS!$B$5:$B$7,0)),18),G96&gt;IFERROR(INDEX(Catalogo_Planes_PIMS!$E$5:$E$7,MATCH(H96,Catalogo_Planes_PIMS!$B$5:$B$7,0)),65))),"Edad fuera de rango",IF(N96="NO","RUT inválido",IF(OR(J96="",I96&lt;&gt;J96),"Descalce de prima","Sin errores adicionales"))))))</f>
        <v>Sin errores adicionales</v>
      </c>
    </row>
    <row r="97" spans="1:19" x14ac:dyDescent="0.25">
      <c r="A97" s="7" t="s">
        <v>303</v>
      </c>
      <c r="B97" s="8">
        <v>46307</v>
      </c>
      <c r="C97" s="7" t="s">
        <v>27</v>
      </c>
      <c r="D97" s="9" t="s">
        <v>304</v>
      </c>
      <c r="E97" s="9" t="s">
        <v>305</v>
      </c>
      <c r="F97" s="8">
        <v>23269</v>
      </c>
      <c r="G97" s="10">
        <f t="shared" ca="1" si="10"/>
        <v>63</v>
      </c>
      <c r="H97" s="7" t="s">
        <v>25</v>
      </c>
      <c r="I97" s="11">
        <v>18990</v>
      </c>
      <c r="J97" s="11">
        <f>IFERROR(INDEX(Catalogo_Planes_PIMS!$C$5:$C$7,MATCH(H97,Catalogo_Planes_PIMS!$B$5:$B$7,0)),"")</f>
        <v>18990</v>
      </c>
      <c r="K97" s="7" t="str">
        <f ca="1">IF(P97&lt;&gt;"OK","RECHAZADO_DATOS_INCOMPLETOS",IF(R97="DUPLICADO","RECHAZADO_ID_DUPLICADO",IF(Q97="NO","RECHAZADO_PLAN_NO_CATALOGADO",IF(OR(G97="",G97&lt;IFERROR(INDEX(Catalogo_Planes_PIMS!$D$5:$D$7,MATCH(H97,Catalogo_Planes_PIMS!$B$5:$B$7,0)),18),G97&gt;IFERROR(INDEX(Catalogo_Planes_PIMS!$E$5:$E$7,MATCH(H97,Catalogo_Planes_PIMS!$B$5:$B$7,0)),65)),"RECHAZADO_ELEGIBILIDAD",IF(N97="NO","RECHAZADO_RUT_INVALIDO",IF(OR(J97="",I97&lt;&gt;J97),"RECHAZADO_DESCALCE_PRIMA","APROBADO_CARGA_PIMS"))))))</f>
        <v>APROBADO_CARGA_PIMS</v>
      </c>
      <c r="L97" s="7" t="str">
        <f t="shared" ca="1" si="11"/>
        <v>Sin observaciones</v>
      </c>
      <c r="M97" s="12" t="str">
        <f t="shared" si="12"/>
        <v>178604775</v>
      </c>
      <c r="N97" s="13" t="str">
        <f>IF(OR(D97="",ISERROR(FIND("-",TRIM(D97))),MID(TRIM(D97),LEN(TRIM(D97))-1,1)&lt;&gt;"-",LEN(M97)&lt;8,LEN(M97)&gt;9,NOT(ISNUMBER(--LEFT(M97,LEN(M97)-1))),NOT(OR(RIGHT(M97,1)="K",IFERROR(ISNUMBER(--RIGHT(M97,1)),FALSE())))),"NO",IF(RIGHT(M97,1)=MID("0K987654321",MOD(SUMPRODUCT(--MID(RIGHT("00000000"&amp;LEFT(M97,LEN(M97)-1),8),{1,2,3,4,5,6,7,8},1),{3,2,7,6,5,4,3,2}),11)+1,1),"SI","NO"))</f>
        <v>SI</v>
      </c>
      <c r="O97" s="13" t="str">
        <f ca="1">IF(LEFT(K97,9)="RECHAZADO",COUNTIF($K$5:K97,"RECHAZADO*"),"")</f>
        <v/>
      </c>
      <c r="P97" s="14" t="str">
        <f t="shared" ca="1" si="13"/>
        <v>OK</v>
      </c>
      <c r="Q97" s="14" t="str">
        <f>IF(COUNTIF(Catalogo_Planes_PIMS!$B$5:$B$7,H97)=1,"SI","NO")</f>
        <v>SI</v>
      </c>
      <c r="R97" s="14" t="str">
        <f t="shared" si="14"/>
        <v>OK</v>
      </c>
      <c r="S97" s="15" t="str">
        <f ca="1">IF(P97&lt;&gt;"OK","Revisar campos obligatorios, fechas y prima",IF(R97="DUPLICADO","ID_Solicitud duplicado",IF(Q97="NO","Plan no existe en catálogo",IF(AND(G97&lt;&gt;"",OR(G97&lt;IFERROR(INDEX(Catalogo_Planes_PIMS!$D$5:$D$7,MATCH(H97,Catalogo_Planes_PIMS!$B$5:$B$7,0)),18),G97&gt;IFERROR(INDEX(Catalogo_Planes_PIMS!$E$5:$E$7,MATCH(H97,Catalogo_Planes_PIMS!$B$5:$B$7,0)),65))),"Edad fuera de rango",IF(N97="NO","RUT inválido",IF(OR(J97="",I97&lt;&gt;J97),"Descalce de prima","Sin errores adicionales"))))))</f>
        <v>Sin errores adicionales</v>
      </c>
    </row>
    <row r="98" spans="1:19" x14ac:dyDescent="0.25">
      <c r="A98" s="7" t="s">
        <v>306</v>
      </c>
      <c r="B98" s="8">
        <v>46307</v>
      </c>
      <c r="C98" s="7" t="s">
        <v>34</v>
      </c>
      <c r="D98" s="9" t="s">
        <v>307</v>
      </c>
      <c r="E98" s="9" t="s">
        <v>308</v>
      </c>
      <c r="F98" s="8">
        <v>24189</v>
      </c>
      <c r="G98" s="10">
        <f t="shared" ca="1" si="10"/>
        <v>60</v>
      </c>
      <c r="H98" s="7" t="s">
        <v>44</v>
      </c>
      <c r="I98" s="11">
        <v>15990</v>
      </c>
      <c r="J98" s="11">
        <f>IFERROR(INDEX(Catalogo_Planes_PIMS!$C$5:$C$7,MATCH(H98,Catalogo_Planes_PIMS!$B$5:$B$7,0)),"")</f>
        <v>12990</v>
      </c>
      <c r="K98" s="7" t="str">
        <f ca="1">IF(P98&lt;&gt;"OK","RECHAZADO_DATOS_INCOMPLETOS",IF(R98="DUPLICADO","RECHAZADO_ID_DUPLICADO",IF(Q98="NO","RECHAZADO_PLAN_NO_CATALOGADO",IF(OR(G98="",G98&lt;IFERROR(INDEX(Catalogo_Planes_PIMS!$D$5:$D$7,MATCH(H98,Catalogo_Planes_PIMS!$B$5:$B$7,0)),18),G98&gt;IFERROR(INDEX(Catalogo_Planes_PIMS!$E$5:$E$7,MATCH(H98,Catalogo_Planes_PIMS!$B$5:$B$7,0)),65)),"RECHAZADO_ELEGIBILIDAD",IF(N98="NO","RECHAZADO_RUT_INVALIDO",IF(OR(J98="",I98&lt;&gt;J98),"RECHAZADO_DESCALCE_PRIMA","APROBADO_CARGA_PIMS"))))))</f>
        <v>RECHAZADO_DESCALCE_PRIMA</v>
      </c>
      <c r="L98" s="7" t="str">
        <f t="shared" ca="1" si="11"/>
        <v>Prima informada no coincide con tarifa oficial PIMS</v>
      </c>
      <c r="M98" s="12" t="str">
        <f t="shared" si="12"/>
        <v>132746672</v>
      </c>
      <c r="N98" s="13" t="str">
        <f>IF(OR(D98="",ISERROR(FIND("-",TRIM(D98))),MID(TRIM(D98),LEN(TRIM(D98))-1,1)&lt;&gt;"-",LEN(M98)&lt;8,LEN(M98)&gt;9,NOT(ISNUMBER(--LEFT(M98,LEN(M98)-1))),NOT(OR(RIGHT(M98,1)="K",IFERROR(ISNUMBER(--RIGHT(M98,1)),FALSE())))),"NO",IF(RIGHT(M98,1)=MID("0K987654321",MOD(SUMPRODUCT(--MID(RIGHT("00000000"&amp;LEFT(M98,LEN(M98)-1),8),{1,2,3,4,5,6,7,8},1),{3,2,7,6,5,4,3,2}),11)+1,1),"SI","NO"))</f>
        <v>SI</v>
      </c>
      <c r="O98" s="13">
        <f ca="1">IF(LEFT(K98,9)="RECHAZADO",COUNTIF($K$5:K98,"RECHAZADO*"),"")</f>
        <v>36</v>
      </c>
      <c r="P98" s="14" t="str">
        <f t="shared" ca="1" si="13"/>
        <v>OK</v>
      </c>
      <c r="Q98" s="14" t="str">
        <f>IF(COUNTIF(Catalogo_Planes_PIMS!$B$5:$B$7,H98)=1,"SI","NO")</f>
        <v>SI</v>
      </c>
      <c r="R98" s="14" t="str">
        <f t="shared" si="14"/>
        <v>OK</v>
      </c>
      <c r="S98" s="15" t="str">
        <f ca="1">IF(P98&lt;&gt;"OK","Revisar campos obligatorios, fechas y prima",IF(R98="DUPLICADO","ID_Solicitud duplicado",IF(Q98="NO","Plan no existe en catálogo",IF(AND(G98&lt;&gt;"",OR(G98&lt;IFERROR(INDEX(Catalogo_Planes_PIMS!$D$5:$D$7,MATCH(H98,Catalogo_Planes_PIMS!$B$5:$B$7,0)),18),G98&gt;IFERROR(INDEX(Catalogo_Planes_PIMS!$E$5:$E$7,MATCH(H98,Catalogo_Planes_PIMS!$B$5:$B$7,0)),65))),"Edad fuera de rango",IF(N98="NO","RUT inválido",IF(OR(J98="",I98&lt;&gt;J98),"Descalce de prima","Sin errores adicionales"))))))</f>
        <v>Descalce de prima</v>
      </c>
    </row>
    <row r="99" spans="1:19" x14ac:dyDescent="0.25">
      <c r="A99" s="7" t="s">
        <v>309</v>
      </c>
      <c r="B99" s="8">
        <v>46307</v>
      </c>
      <c r="C99" s="7" t="s">
        <v>22</v>
      </c>
      <c r="D99" s="9" t="s">
        <v>310</v>
      </c>
      <c r="E99" s="9" t="s">
        <v>311</v>
      </c>
      <c r="F99" s="8">
        <v>35115</v>
      </c>
      <c r="G99" s="10">
        <f t="shared" ca="1" si="10"/>
        <v>30</v>
      </c>
      <c r="H99" s="7" t="s">
        <v>44</v>
      </c>
      <c r="I99" s="11">
        <v>12990</v>
      </c>
      <c r="J99" s="11">
        <f>IFERROR(INDEX(Catalogo_Planes_PIMS!$C$5:$C$7,MATCH(H99,Catalogo_Planes_PIMS!$B$5:$B$7,0)),"")</f>
        <v>12990</v>
      </c>
      <c r="K99" s="7" t="str">
        <f ca="1">IF(P99&lt;&gt;"OK","RECHAZADO_DATOS_INCOMPLETOS",IF(R99="DUPLICADO","RECHAZADO_ID_DUPLICADO",IF(Q99="NO","RECHAZADO_PLAN_NO_CATALOGADO",IF(OR(G99="",G99&lt;IFERROR(INDEX(Catalogo_Planes_PIMS!$D$5:$D$7,MATCH(H99,Catalogo_Planes_PIMS!$B$5:$B$7,0)),18),G99&gt;IFERROR(INDEX(Catalogo_Planes_PIMS!$E$5:$E$7,MATCH(H99,Catalogo_Planes_PIMS!$B$5:$B$7,0)),65)),"RECHAZADO_ELEGIBILIDAD",IF(N99="NO","RECHAZADO_RUT_INVALIDO",IF(OR(J99="",I99&lt;&gt;J99),"RECHAZADO_DESCALCE_PRIMA","APROBADO_CARGA_PIMS"))))))</f>
        <v>APROBADO_CARGA_PIMS</v>
      </c>
      <c r="L99" s="7" t="str">
        <f t="shared" ca="1" si="11"/>
        <v>Sin observaciones</v>
      </c>
      <c r="M99" s="12" t="str">
        <f t="shared" si="12"/>
        <v>194525362</v>
      </c>
      <c r="N99" s="13" t="str">
        <f>IF(OR(D99="",ISERROR(FIND("-",TRIM(D99))),MID(TRIM(D99),LEN(TRIM(D99))-1,1)&lt;&gt;"-",LEN(M99)&lt;8,LEN(M99)&gt;9,NOT(ISNUMBER(--LEFT(M99,LEN(M99)-1))),NOT(OR(RIGHT(M99,1)="K",IFERROR(ISNUMBER(--RIGHT(M99,1)),FALSE())))),"NO",IF(RIGHT(M99,1)=MID("0K987654321",MOD(SUMPRODUCT(--MID(RIGHT("00000000"&amp;LEFT(M99,LEN(M99)-1),8),{1,2,3,4,5,6,7,8},1),{3,2,7,6,5,4,3,2}),11)+1,1),"SI","NO"))</f>
        <v>SI</v>
      </c>
      <c r="O99" s="13" t="str">
        <f ca="1">IF(LEFT(K99,9)="RECHAZADO",COUNTIF($K$5:K99,"RECHAZADO*"),"")</f>
        <v/>
      </c>
      <c r="P99" s="14" t="str">
        <f t="shared" ca="1" si="13"/>
        <v>OK</v>
      </c>
      <c r="Q99" s="14" t="str">
        <f>IF(COUNTIF(Catalogo_Planes_PIMS!$B$5:$B$7,H99)=1,"SI","NO")</f>
        <v>SI</v>
      </c>
      <c r="R99" s="14" t="str">
        <f t="shared" si="14"/>
        <v>OK</v>
      </c>
      <c r="S99" s="15" t="str">
        <f ca="1">IF(P99&lt;&gt;"OK","Revisar campos obligatorios, fechas y prima",IF(R99="DUPLICADO","ID_Solicitud duplicado",IF(Q99="NO","Plan no existe en catálogo",IF(AND(G99&lt;&gt;"",OR(G99&lt;IFERROR(INDEX(Catalogo_Planes_PIMS!$D$5:$D$7,MATCH(H99,Catalogo_Planes_PIMS!$B$5:$B$7,0)),18),G99&gt;IFERROR(INDEX(Catalogo_Planes_PIMS!$E$5:$E$7,MATCH(H99,Catalogo_Planes_PIMS!$B$5:$B$7,0)),65))),"Edad fuera de rango",IF(N99="NO","RUT inválido",IF(OR(J99="",I99&lt;&gt;J99),"Descalce de prima","Sin errores adicionales"))))))</f>
        <v>Sin errores adicionales</v>
      </c>
    </row>
    <row r="100" spans="1:19" x14ac:dyDescent="0.25">
      <c r="A100" s="7" t="s">
        <v>312</v>
      </c>
      <c r="B100" s="8">
        <v>46307</v>
      </c>
      <c r="C100" s="7" t="s">
        <v>34</v>
      </c>
      <c r="D100" s="9" t="s">
        <v>313</v>
      </c>
      <c r="E100" s="9" t="s">
        <v>314</v>
      </c>
      <c r="F100" s="8">
        <v>23561</v>
      </c>
      <c r="G100" s="10">
        <f t="shared" ca="1" si="10"/>
        <v>62</v>
      </c>
      <c r="H100" s="7" t="s">
        <v>25</v>
      </c>
      <c r="I100" s="11">
        <v>18990</v>
      </c>
      <c r="J100" s="11">
        <f>IFERROR(INDEX(Catalogo_Planes_PIMS!$C$5:$C$7,MATCH(H100,Catalogo_Planes_PIMS!$B$5:$B$7,0)),"")</f>
        <v>18990</v>
      </c>
      <c r="K100" s="7" t="str">
        <f ca="1">IF(P100&lt;&gt;"OK","RECHAZADO_DATOS_INCOMPLETOS",IF(R100="DUPLICADO","RECHAZADO_ID_DUPLICADO",IF(Q100="NO","RECHAZADO_PLAN_NO_CATALOGADO",IF(OR(G100="",G100&lt;IFERROR(INDEX(Catalogo_Planes_PIMS!$D$5:$D$7,MATCH(H100,Catalogo_Planes_PIMS!$B$5:$B$7,0)),18),G100&gt;IFERROR(INDEX(Catalogo_Planes_PIMS!$E$5:$E$7,MATCH(H100,Catalogo_Planes_PIMS!$B$5:$B$7,0)),65)),"RECHAZADO_ELEGIBILIDAD",IF(N100="NO","RECHAZADO_RUT_INVALIDO",IF(OR(J100="",I100&lt;&gt;J100),"RECHAZADO_DESCALCE_PRIMA","APROBADO_CARGA_PIMS"))))))</f>
        <v>APROBADO_CARGA_PIMS</v>
      </c>
      <c r="L100" s="7" t="str">
        <f t="shared" ca="1" si="11"/>
        <v>Sin observaciones</v>
      </c>
      <c r="M100" s="12" t="str">
        <f t="shared" si="12"/>
        <v>236067297</v>
      </c>
      <c r="N100" s="13" t="str">
        <f>IF(OR(D100="",ISERROR(FIND("-",TRIM(D100))),MID(TRIM(D100),LEN(TRIM(D100))-1,1)&lt;&gt;"-",LEN(M100)&lt;8,LEN(M100)&gt;9,NOT(ISNUMBER(--LEFT(M100,LEN(M100)-1))),NOT(OR(RIGHT(M100,1)="K",IFERROR(ISNUMBER(--RIGHT(M100,1)),FALSE())))),"NO",IF(RIGHT(M100,1)=MID("0K987654321",MOD(SUMPRODUCT(--MID(RIGHT("00000000"&amp;LEFT(M100,LEN(M100)-1),8),{1,2,3,4,5,6,7,8},1),{3,2,7,6,5,4,3,2}),11)+1,1),"SI","NO"))</f>
        <v>SI</v>
      </c>
      <c r="O100" s="13" t="str">
        <f ca="1">IF(LEFT(K100,9)="RECHAZADO",COUNTIF($K$5:K100,"RECHAZADO*"),"")</f>
        <v/>
      </c>
      <c r="P100" s="14" t="str">
        <f t="shared" ca="1" si="13"/>
        <v>OK</v>
      </c>
      <c r="Q100" s="14" t="str">
        <f>IF(COUNTIF(Catalogo_Planes_PIMS!$B$5:$B$7,H100)=1,"SI","NO")</f>
        <v>SI</v>
      </c>
      <c r="R100" s="14" t="str">
        <f t="shared" si="14"/>
        <v>OK</v>
      </c>
      <c r="S100" s="15" t="str">
        <f ca="1">IF(P100&lt;&gt;"OK","Revisar campos obligatorios, fechas y prima",IF(R100="DUPLICADO","ID_Solicitud duplicado",IF(Q100="NO","Plan no existe en catálogo",IF(AND(G100&lt;&gt;"",OR(G100&lt;IFERROR(INDEX(Catalogo_Planes_PIMS!$D$5:$D$7,MATCH(H100,Catalogo_Planes_PIMS!$B$5:$B$7,0)),18),G100&gt;IFERROR(INDEX(Catalogo_Planes_PIMS!$E$5:$E$7,MATCH(H100,Catalogo_Planes_PIMS!$B$5:$B$7,0)),65))),"Edad fuera de rango",IF(N100="NO","RUT inválido",IF(OR(J100="",I100&lt;&gt;J100),"Descalce de prima","Sin errores adicionales"))))))</f>
        <v>Sin errores adicionales</v>
      </c>
    </row>
    <row r="101" spans="1:19" x14ac:dyDescent="0.25">
      <c r="A101" s="7" t="s">
        <v>315</v>
      </c>
      <c r="B101" s="8">
        <v>46307</v>
      </c>
      <c r="C101" s="7" t="s">
        <v>27</v>
      </c>
      <c r="D101" s="9" t="s">
        <v>316</v>
      </c>
      <c r="E101" s="9" t="s">
        <v>317</v>
      </c>
      <c r="F101" s="8">
        <v>36676</v>
      </c>
      <c r="G101" s="10">
        <f t="shared" ref="G101:G104" ca="1" si="15">IF(OR(F101="",NOT(ISNUMBER(F101)),F101&gt;TODAY()),"",DATEDIF(F101,TODAY(),"Y"))</f>
        <v>26</v>
      </c>
      <c r="H101" s="7" t="s">
        <v>44</v>
      </c>
      <c r="I101" s="11">
        <v>12990</v>
      </c>
      <c r="J101" s="11">
        <f>IFERROR(INDEX(Catalogo_Planes_PIMS!$C$5:$C$7,MATCH(H101,Catalogo_Planes_PIMS!$B$5:$B$7,0)),"")</f>
        <v>12990</v>
      </c>
      <c r="K101" s="7" t="str">
        <f ca="1">IF(P101&lt;&gt;"OK","RECHAZADO_DATOS_INCOMPLETOS",IF(R101="DUPLICADO","RECHAZADO_ID_DUPLICADO",IF(Q101="NO","RECHAZADO_PLAN_NO_CATALOGADO",IF(OR(G101="",G101&lt;IFERROR(INDEX(Catalogo_Planes_PIMS!$D$5:$D$7,MATCH(H101,Catalogo_Planes_PIMS!$B$5:$B$7,0)),18),G101&gt;IFERROR(INDEX(Catalogo_Planes_PIMS!$E$5:$E$7,MATCH(H101,Catalogo_Planes_PIMS!$B$5:$B$7,0)),65)),"RECHAZADO_ELEGIBILIDAD",IF(N101="NO","RECHAZADO_RUT_INVALIDO",IF(OR(J101="",I101&lt;&gt;J101),"RECHAZADO_DESCALCE_PRIMA","APROBADO_CARGA_PIMS"))))))</f>
        <v>RECHAZADO_RUT_INVALIDO</v>
      </c>
      <c r="L101" s="7" t="str">
        <f t="shared" ref="L101:L104" ca="1" si="16">IF(K101="APROBADO_CARGA_PIMS","Sin observaciones",IF(K101="RECHAZADO_DATOS_INCOMPLETOS","Campos obligatorios incompletos o dato inválido",IF(K101="RECHAZADO_ID_DUPLICADO","Identificador de solicitud duplicado",IF(K101="RECHAZADO_PLAN_NO_CATALOGADO","Plan solicitado no existe en catálogo PIMS",IF(K101="RECHAZADO_ELEGIBILIDAD","Edad fuera del rango definido en catálogo",IF(K101="RECHAZADO_RUT_INVALIDO","RUT con formato o dígito verificador inválido","Prima informada no coincide con tarifa oficial PIMS"))))))</f>
        <v>RUT con formato o dígito verificador inválido</v>
      </c>
      <c r="M101" s="12" t="str">
        <f t="shared" si="12"/>
        <v>988189X1</v>
      </c>
      <c r="N101" s="13" t="str">
        <f>IF(OR(D101="",ISERROR(FIND("-",TRIM(D101))),MID(TRIM(D101),LEN(TRIM(D101))-1,1)&lt;&gt;"-",LEN(M101)&lt;8,LEN(M101)&gt;9,NOT(ISNUMBER(--LEFT(M101,LEN(M101)-1))),NOT(OR(RIGHT(M101,1)="K",IFERROR(ISNUMBER(--RIGHT(M101,1)),FALSE())))),"NO",IF(RIGHT(M101,1)=MID("0K987654321",MOD(SUMPRODUCT(--MID(RIGHT("00000000"&amp;LEFT(M101,LEN(M101)-1),8),{1,2,3,4,5,6,7,8},1),{3,2,7,6,5,4,3,2}),11)+1,1),"SI","NO"))</f>
        <v>NO</v>
      </c>
      <c r="O101" s="13">
        <f ca="1">IF(LEFT(K101,9)="RECHAZADO",COUNTIF($K$5:K101,"RECHAZADO*"),"")</f>
        <v>37</v>
      </c>
      <c r="P101" s="14" t="str">
        <f t="shared" ca="1" si="13"/>
        <v>OK</v>
      </c>
      <c r="Q101" s="14" t="str">
        <f>IF(COUNTIF(Catalogo_Planes_PIMS!$B$5:$B$7,H101)=1,"SI","NO")</f>
        <v>SI</v>
      </c>
      <c r="R101" s="14" t="str">
        <f t="shared" si="14"/>
        <v>OK</v>
      </c>
      <c r="S101" s="15" t="str">
        <f ca="1">IF(P101&lt;&gt;"OK","Revisar campos obligatorios, fechas y prima",IF(R101="DUPLICADO","ID_Solicitud duplicado",IF(Q101="NO","Plan no existe en catálogo",IF(AND(G101&lt;&gt;"",OR(G101&lt;IFERROR(INDEX(Catalogo_Planes_PIMS!$D$5:$D$7,MATCH(H101,Catalogo_Planes_PIMS!$B$5:$B$7,0)),18),G101&gt;IFERROR(INDEX(Catalogo_Planes_PIMS!$E$5:$E$7,MATCH(H101,Catalogo_Planes_PIMS!$B$5:$B$7,0)),65))),"Edad fuera de rango",IF(N101="NO","RUT inválido",IF(OR(J101="",I101&lt;&gt;J101),"Descalce de prima","Sin errores adicionales"))))))</f>
        <v>RUT inválido</v>
      </c>
    </row>
    <row r="102" spans="1:19" x14ac:dyDescent="0.25">
      <c r="A102" s="7" t="s">
        <v>318</v>
      </c>
      <c r="B102" s="8">
        <v>46307</v>
      </c>
      <c r="C102" s="7" t="s">
        <v>34</v>
      </c>
      <c r="D102" s="9" t="s">
        <v>319</v>
      </c>
      <c r="E102" s="9" t="s">
        <v>320</v>
      </c>
      <c r="F102" s="8">
        <v>36690</v>
      </c>
      <c r="G102" s="10">
        <f t="shared" ca="1" si="15"/>
        <v>26</v>
      </c>
      <c r="H102" s="7" t="s">
        <v>37</v>
      </c>
      <c r="I102" s="11">
        <v>7990</v>
      </c>
      <c r="J102" s="11">
        <f>IFERROR(INDEX(Catalogo_Planes_PIMS!$C$5:$C$7,MATCH(H102,Catalogo_Planes_PIMS!$B$5:$B$7,0)),"")</f>
        <v>7990</v>
      </c>
      <c r="K102" s="7" t="str">
        <f ca="1">IF(P102&lt;&gt;"OK","RECHAZADO_DATOS_INCOMPLETOS",IF(R102="DUPLICADO","RECHAZADO_ID_DUPLICADO",IF(Q102="NO","RECHAZADO_PLAN_NO_CATALOGADO",IF(OR(G102="",G102&lt;IFERROR(INDEX(Catalogo_Planes_PIMS!$D$5:$D$7,MATCH(H102,Catalogo_Planes_PIMS!$B$5:$B$7,0)),18),G102&gt;IFERROR(INDEX(Catalogo_Planes_PIMS!$E$5:$E$7,MATCH(H102,Catalogo_Planes_PIMS!$B$5:$B$7,0)),65)),"RECHAZADO_ELEGIBILIDAD",IF(N102="NO","RECHAZADO_RUT_INVALIDO",IF(OR(J102="",I102&lt;&gt;J102),"RECHAZADO_DESCALCE_PRIMA","APROBADO_CARGA_PIMS"))))))</f>
        <v>APROBADO_CARGA_PIMS</v>
      </c>
      <c r="L102" s="7" t="str">
        <f t="shared" ca="1" si="16"/>
        <v>Sin observaciones</v>
      </c>
      <c r="M102" s="12" t="str">
        <f t="shared" si="12"/>
        <v>221551338</v>
      </c>
      <c r="N102" s="13" t="str">
        <f>IF(OR(D102="",ISERROR(FIND("-",TRIM(D102))),MID(TRIM(D102),LEN(TRIM(D102))-1,1)&lt;&gt;"-",LEN(M102)&lt;8,LEN(M102)&gt;9,NOT(ISNUMBER(--LEFT(M102,LEN(M102)-1))),NOT(OR(RIGHT(M102,1)="K",IFERROR(ISNUMBER(--RIGHT(M102,1)),FALSE())))),"NO",IF(RIGHT(M102,1)=MID("0K987654321",MOD(SUMPRODUCT(--MID(RIGHT("00000000"&amp;LEFT(M102,LEN(M102)-1),8),{1,2,3,4,5,6,7,8},1),{3,2,7,6,5,4,3,2}),11)+1,1),"SI","NO"))</f>
        <v>SI</v>
      </c>
      <c r="O102" s="13" t="str">
        <f ca="1">IF(LEFT(K102,9)="RECHAZADO",COUNTIF($K$5:K102,"RECHAZADO*"),"")</f>
        <v/>
      </c>
      <c r="P102" s="14" t="str">
        <f t="shared" ca="1" si="13"/>
        <v>OK</v>
      </c>
      <c r="Q102" s="14" t="str">
        <f>IF(COUNTIF(Catalogo_Planes_PIMS!$B$5:$B$7,H102)=1,"SI","NO")</f>
        <v>SI</v>
      </c>
      <c r="R102" s="14" t="str">
        <f t="shared" si="14"/>
        <v>OK</v>
      </c>
      <c r="S102" s="15" t="str">
        <f ca="1">IF(P102&lt;&gt;"OK","Revisar campos obligatorios, fechas y prima",IF(R102="DUPLICADO","ID_Solicitud duplicado",IF(Q102="NO","Plan no existe en catálogo",IF(AND(G102&lt;&gt;"",OR(G102&lt;IFERROR(INDEX(Catalogo_Planes_PIMS!$D$5:$D$7,MATCH(H102,Catalogo_Planes_PIMS!$B$5:$B$7,0)),18),G102&gt;IFERROR(INDEX(Catalogo_Planes_PIMS!$E$5:$E$7,MATCH(H102,Catalogo_Planes_PIMS!$B$5:$B$7,0)),65))),"Edad fuera de rango",IF(N102="NO","RUT inválido",IF(OR(J102="",I102&lt;&gt;J102),"Descalce de prima","Sin errores adicionales"))))))</f>
        <v>Sin errores adicionales</v>
      </c>
    </row>
    <row r="103" spans="1:19" x14ac:dyDescent="0.25">
      <c r="A103" s="7" t="s">
        <v>321</v>
      </c>
      <c r="B103" s="8">
        <v>46307</v>
      </c>
      <c r="C103" s="7" t="s">
        <v>34</v>
      </c>
      <c r="D103" s="9" t="s">
        <v>322</v>
      </c>
      <c r="E103" s="9" t="s">
        <v>323</v>
      </c>
      <c r="F103" s="8">
        <v>31208</v>
      </c>
      <c r="G103" s="10">
        <f t="shared" ca="1" si="15"/>
        <v>41</v>
      </c>
      <c r="H103" s="7" t="s">
        <v>44</v>
      </c>
      <c r="I103" s="11">
        <v>12990</v>
      </c>
      <c r="J103" s="11">
        <f>IFERROR(INDEX(Catalogo_Planes_PIMS!$C$5:$C$7,MATCH(H103,Catalogo_Planes_PIMS!$B$5:$B$7,0)),"")</f>
        <v>12990</v>
      </c>
      <c r="K103" s="7" t="str">
        <f ca="1">IF(P103&lt;&gt;"OK","RECHAZADO_DATOS_INCOMPLETOS",IF(R103="DUPLICADO","RECHAZADO_ID_DUPLICADO",IF(Q103="NO","RECHAZADO_PLAN_NO_CATALOGADO",IF(OR(G103="",G103&lt;IFERROR(INDEX(Catalogo_Planes_PIMS!$D$5:$D$7,MATCH(H103,Catalogo_Planes_PIMS!$B$5:$B$7,0)),18),G103&gt;IFERROR(INDEX(Catalogo_Planes_PIMS!$E$5:$E$7,MATCH(H103,Catalogo_Planes_PIMS!$B$5:$B$7,0)),65)),"RECHAZADO_ELEGIBILIDAD",IF(N103="NO","RECHAZADO_RUT_INVALIDO",IF(OR(J103="",I103&lt;&gt;J103),"RECHAZADO_DESCALCE_PRIMA","APROBADO_CARGA_PIMS"))))))</f>
        <v>APROBADO_CARGA_PIMS</v>
      </c>
      <c r="L103" s="7" t="str">
        <f t="shared" ca="1" si="16"/>
        <v>Sin observaciones</v>
      </c>
      <c r="M103" s="12" t="str">
        <f t="shared" si="12"/>
        <v>62450428</v>
      </c>
      <c r="N103" s="13" t="str">
        <f>IF(OR(D103="",ISERROR(FIND("-",TRIM(D103))),MID(TRIM(D103),LEN(TRIM(D103))-1,1)&lt;&gt;"-",LEN(M103)&lt;8,LEN(M103)&gt;9,NOT(ISNUMBER(--LEFT(M103,LEN(M103)-1))),NOT(OR(RIGHT(M103,1)="K",IFERROR(ISNUMBER(--RIGHT(M103,1)),FALSE())))),"NO",IF(RIGHT(M103,1)=MID("0K987654321",MOD(SUMPRODUCT(--MID(RIGHT("00000000"&amp;LEFT(M103,LEN(M103)-1),8),{1,2,3,4,5,6,7,8},1),{3,2,7,6,5,4,3,2}),11)+1,1),"SI","NO"))</f>
        <v>SI</v>
      </c>
      <c r="O103" s="13" t="str">
        <f ca="1">IF(LEFT(K103,9)="RECHAZADO",COUNTIF($K$5:K103,"RECHAZADO*"),"")</f>
        <v/>
      </c>
      <c r="P103" s="14" t="str">
        <f t="shared" ca="1" si="13"/>
        <v>OK</v>
      </c>
      <c r="Q103" s="14" t="str">
        <f>IF(COUNTIF(Catalogo_Planes_PIMS!$B$5:$B$7,H103)=1,"SI","NO")</f>
        <v>SI</v>
      </c>
      <c r="R103" s="14" t="str">
        <f t="shared" si="14"/>
        <v>OK</v>
      </c>
      <c r="S103" s="15" t="str">
        <f ca="1">IF(P103&lt;&gt;"OK","Revisar campos obligatorios, fechas y prima",IF(R103="DUPLICADO","ID_Solicitud duplicado",IF(Q103="NO","Plan no existe en catálogo",IF(AND(G103&lt;&gt;"",OR(G103&lt;IFERROR(INDEX(Catalogo_Planes_PIMS!$D$5:$D$7,MATCH(H103,Catalogo_Planes_PIMS!$B$5:$B$7,0)),18),G103&gt;IFERROR(INDEX(Catalogo_Planes_PIMS!$E$5:$E$7,MATCH(H103,Catalogo_Planes_PIMS!$B$5:$B$7,0)),65))),"Edad fuera de rango",IF(N103="NO","RUT inválido",IF(OR(J103="",I103&lt;&gt;J103),"Descalce de prima","Sin errores adicionales"))))))</f>
        <v>Sin errores adicionales</v>
      </c>
    </row>
    <row r="104" spans="1:19" x14ac:dyDescent="0.25">
      <c r="A104" s="7" t="s">
        <v>324</v>
      </c>
      <c r="B104" s="8">
        <v>46307</v>
      </c>
      <c r="C104" s="7" t="s">
        <v>27</v>
      </c>
      <c r="D104" s="9" t="s">
        <v>325</v>
      </c>
      <c r="E104" s="9" t="s">
        <v>326</v>
      </c>
      <c r="F104" s="8">
        <v>21372</v>
      </c>
      <c r="G104" s="10">
        <f t="shared" ca="1" si="15"/>
        <v>68</v>
      </c>
      <c r="H104" s="7" t="s">
        <v>25</v>
      </c>
      <c r="I104" s="11">
        <v>18990</v>
      </c>
      <c r="J104" s="11">
        <f>IFERROR(INDEX(Catalogo_Planes_PIMS!$C$5:$C$7,MATCH(H104,Catalogo_Planes_PIMS!$B$5:$B$7,0)),"")</f>
        <v>18990</v>
      </c>
      <c r="K104" s="7" t="str">
        <f ca="1">IF(P104&lt;&gt;"OK","RECHAZADO_DATOS_INCOMPLETOS",IF(R104="DUPLICADO","RECHAZADO_ID_DUPLICADO",IF(Q104="NO","RECHAZADO_PLAN_NO_CATALOGADO",IF(OR(G104="",G104&lt;IFERROR(INDEX(Catalogo_Planes_PIMS!$D$5:$D$7,MATCH(H104,Catalogo_Planes_PIMS!$B$5:$B$7,0)),18),G104&gt;IFERROR(INDEX(Catalogo_Planes_PIMS!$E$5:$E$7,MATCH(H104,Catalogo_Planes_PIMS!$B$5:$B$7,0)),65)),"RECHAZADO_ELEGIBILIDAD",IF(N104="NO","RECHAZADO_RUT_INVALIDO",IF(OR(J104="",I104&lt;&gt;J104),"RECHAZADO_DESCALCE_PRIMA","APROBADO_CARGA_PIMS"))))))</f>
        <v>RECHAZADO_ELEGIBILIDAD</v>
      </c>
      <c r="L104" s="7" t="str">
        <f t="shared" ca="1" si="16"/>
        <v>Edad fuera del rango definido en catálogo</v>
      </c>
      <c r="M104" s="12" t="str">
        <f t="shared" si="12"/>
        <v>243694981</v>
      </c>
      <c r="N104" s="13" t="str">
        <f>IF(OR(D104="",ISERROR(FIND("-",TRIM(D104))),MID(TRIM(D104),LEN(TRIM(D104))-1,1)&lt;&gt;"-",LEN(M104)&lt;8,LEN(M104)&gt;9,NOT(ISNUMBER(--LEFT(M104,LEN(M104)-1))),NOT(OR(RIGHT(M104,1)="K",IFERROR(ISNUMBER(--RIGHT(M104,1)),FALSE())))),"NO",IF(RIGHT(M104,1)=MID("0K987654321",MOD(SUMPRODUCT(--MID(RIGHT("00000000"&amp;LEFT(M104,LEN(M104)-1),8),{1,2,3,4,5,6,7,8},1),{3,2,7,6,5,4,3,2}),11)+1,1),"SI","NO"))</f>
        <v>SI</v>
      </c>
      <c r="O104" s="13">
        <f ca="1">IF(LEFT(K104,9)="RECHAZADO",COUNTIF($K$5:K104,"RECHAZADO*"),"")</f>
        <v>38</v>
      </c>
      <c r="P104" s="14" t="str">
        <f t="shared" ca="1" si="13"/>
        <v>OK</v>
      </c>
      <c r="Q104" s="14" t="str">
        <f>IF(COUNTIF(Catalogo_Planes_PIMS!$B$5:$B$7,H104)=1,"SI","NO")</f>
        <v>SI</v>
      </c>
      <c r="R104" s="14" t="str">
        <f t="shared" si="14"/>
        <v>OK</v>
      </c>
      <c r="S104" s="15" t="str">
        <f ca="1">IF(P104&lt;&gt;"OK","Revisar campos obligatorios, fechas y prima",IF(R104="DUPLICADO","ID_Solicitud duplicado",IF(Q104="NO","Plan no existe en catálogo",IF(AND(G104&lt;&gt;"",OR(G104&lt;IFERROR(INDEX(Catalogo_Planes_PIMS!$D$5:$D$7,MATCH(H104,Catalogo_Planes_PIMS!$B$5:$B$7,0)),18),G104&gt;IFERROR(INDEX(Catalogo_Planes_PIMS!$E$5:$E$7,MATCH(H104,Catalogo_Planes_PIMS!$B$5:$B$7,0)),65))),"Edad fuera de rango",IF(N104="NO","RUT inválido",IF(OR(J104="",I104&lt;&gt;J104),"Descalce de prima","Sin errores adicionales"))))))</f>
        <v>Edad fuera de rango</v>
      </c>
    </row>
  </sheetData>
  <mergeCells count="1">
    <mergeCell ref="A1:S1"/>
  </mergeCells>
  <conditionalFormatting sqref="I5:I104">
    <cfRule type="expression" dxfId="21" priority="8">
      <formula>$I5&lt;&gt;$J5</formula>
    </cfRule>
  </conditionalFormatting>
  <conditionalFormatting sqref="K5:K104">
    <cfRule type="cellIs" dxfId="20" priority="2" operator="equal">
      <formula>"APROBADO_CARGA_PIMS"</formula>
    </cfRule>
    <cfRule type="cellIs" dxfId="19" priority="3" operator="equal">
      <formula>"RECHAZADO_ELEGIBILIDAD"</formula>
    </cfRule>
    <cfRule type="cellIs" dxfId="18" priority="4" operator="equal">
      <formula>"RECHAZADO_DESCALCE_PRIMA"</formula>
    </cfRule>
    <cfRule type="cellIs" dxfId="17" priority="5" operator="equal">
      <formula>"RECHAZADO_RUT_INVALIDO"</formula>
    </cfRule>
    <cfRule type="expression" dxfId="16" priority="6">
      <formula>LEFT(K5,9)="RECHAZADO"</formula>
    </cfRule>
    <cfRule type="expression" dxfId="15" priority="7">
      <formula>K5="APROBADO_CARGA_PIMS"</formula>
    </cfRule>
  </conditionalFormatting>
  <conditionalFormatting sqref="N5:N104">
    <cfRule type="cellIs" dxfId="14" priority="9" operator="equal">
      <formula>"NO"</formula>
    </cfRule>
    <cfRule type="expression" dxfId="13" priority="10">
      <formula>N5="NO"</formula>
    </cfRule>
  </conditionalFormatting>
  <dataValidations count="2">
    <dataValidation type="list" sqref="C5:C104" xr:uid="{00000000-0002-0000-0000-000000000000}">
      <formula1>"CallCenter_Alpha,CallCenter_Beta,Socio_Retail_Gamma"</formula1>
      <formula2>0</formula2>
    </dataValidation>
    <dataValidation type="whole" operator="greaterThanOrEqual" sqref="I5:I104" xr:uid="{00000000-0002-0000-0000-000002000000}">
      <formula1>0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1000000}">
          <x14:formula1>
            <xm:f>Catalogo_Planes_PIMS!$B$5:$B$7</xm:f>
          </x14:formula1>
          <x14:formula2>
            <xm:f>0</xm:f>
          </x14:formula2>
          <xm:sqref>H5:H104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04040"/>
  </sheetPr>
  <dimension ref="A1:F11"/>
  <sheetViews>
    <sheetView showGridLines="0" zoomScaleNormal="100" workbookViewId="0"/>
  </sheetViews>
  <sheetFormatPr baseColWidth="10" defaultColWidth="8.7109375" defaultRowHeight="15" customHeight="1" x14ac:dyDescent="0.25"/>
  <cols>
    <col min="1" max="1" width="14" customWidth="1"/>
    <col min="2" max="2" width="26" customWidth="1"/>
    <col min="3" max="3" width="18" customWidth="1"/>
    <col min="4" max="5" width="14" customWidth="1"/>
    <col min="6" max="6" width="62" customWidth="1"/>
  </cols>
  <sheetData>
    <row r="1" spans="1:6" ht="31.5" customHeight="1" x14ac:dyDescent="0.25">
      <c r="A1" s="43" t="s">
        <v>327</v>
      </c>
      <c r="B1" s="43"/>
      <c r="C1" s="43"/>
      <c r="D1" s="43"/>
      <c r="E1" s="43"/>
      <c r="F1" s="43"/>
    </row>
    <row r="2" spans="1:6" x14ac:dyDescent="0.25">
      <c r="A2" s="5" t="s">
        <v>328</v>
      </c>
    </row>
    <row r="4" spans="1:6" ht="27.75" customHeight="1" x14ac:dyDescent="0.25">
      <c r="A4" s="16" t="s">
        <v>329</v>
      </c>
      <c r="B4" s="16" t="s">
        <v>330</v>
      </c>
      <c r="C4" s="16" t="s">
        <v>331</v>
      </c>
      <c r="D4" s="16" t="s">
        <v>332</v>
      </c>
      <c r="E4" s="16" t="s">
        <v>333</v>
      </c>
      <c r="F4" s="16" t="s">
        <v>334</v>
      </c>
    </row>
    <row r="5" spans="1:6" ht="30" customHeight="1" x14ac:dyDescent="0.25">
      <c r="A5" s="17" t="s">
        <v>335</v>
      </c>
      <c r="B5" s="17" t="s">
        <v>44</v>
      </c>
      <c r="C5" s="11">
        <v>12990</v>
      </c>
      <c r="D5" s="18">
        <v>18</v>
      </c>
      <c r="E5" s="18">
        <v>65</v>
      </c>
      <c r="F5" s="17" t="s">
        <v>336</v>
      </c>
    </row>
    <row r="6" spans="1:6" ht="30" customHeight="1" x14ac:dyDescent="0.25">
      <c r="A6" s="17" t="s">
        <v>337</v>
      </c>
      <c r="B6" s="17" t="s">
        <v>25</v>
      </c>
      <c r="C6" s="11">
        <v>18990</v>
      </c>
      <c r="D6" s="18">
        <v>18</v>
      </c>
      <c r="E6" s="18">
        <v>65</v>
      </c>
      <c r="F6" s="17" t="s">
        <v>338</v>
      </c>
    </row>
    <row r="7" spans="1:6" ht="30" customHeight="1" x14ac:dyDescent="0.25">
      <c r="A7" s="17" t="s">
        <v>339</v>
      </c>
      <c r="B7" s="17" t="s">
        <v>37</v>
      </c>
      <c r="C7" s="11">
        <v>7990</v>
      </c>
      <c r="D7" s="18">
        <v>18</v>
      </c>
      <c r="E7" s="18">
        <v>65</v>
      </c>
      <c r="F7" s="17" t="s">
        <v>340</v>
      </c>
    </row>
    <row r="9" spans="1:6" ht="15" customHeight="1" x14ac:dyDescent="0.25">
      <c r="A9" s="50" t="s">
        <v>341</v>
      </c>
      <c r="B9" s="50"/>
      <c r="C9" s="50"/>
      <c r="D9" s="50"/>
      <c r="E9" s="50"/>
      <c r="F9" s="50"/>
    </row>
    <row r="10" spans="1:6" x14ac:dyDescent="0.25">
      <c r="A10" s="50"/>
      <c r="B10" s="50"/>
      <c r="C10" s="50"/>
      <c r="D10" s="50"/>
      <c r="E10" s="50"/>
      <c r="F10" s="50"/>
    </row>
    <row r="11" spans="1:6" x14ac:dyDescent="0.25">
      <c r="A11" s="50"/>
      <c r="B11" s="50"/>
      <c r="C11" s="50"/>
      <c r="D11" s="50"/>
      <c r="E11" s="50"/>
      <c r="F11" s="50"/>
    </row>
  </sheetData>
  <mergeCells count="2">
    <mergeCell ref="A1:F1"/>
    <mergeCell ref="A9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597"/>
    <pageSetUpPr fitToPage="1"/>
  </sheetPr>
  <dimension ref="B1:N4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baseColWidth="10" defaultColWidth="8.7109375" defaultRowHeight="15" customHeight="1" x14ac:dyDescent="0.25"/>
  <cols>
    <col min="1" max="1" width="2" customWidth="1"/>
    <col min="2" max="2" width="23" customWidth="1"/>
    <col min="3" max="12" width="14" customWidth="1"/>
    <col min="13" max="13" width="20" customWidth="1"/>
    <col min="14" max="14" width="16" customWidth="1"/>
  </cols>
  <sheetData>
    <row r="1" spans="2:14" ht="31.5" customHeight="1" x14ac:dyDescent="0.25">
      <c r="B1" s="43" t="s">
        <v>342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2:14" x14ac:dyDescent="0.25">
      <c r="B2" s="55" t="s">
        <v>343</v>
      </c>
      <c r="C2" s="55"/>
      <c r="D2" s="55"/>
      <c r="E2" s="55"/>
      <c r="F2" s="55"/>
      <c r="G2" s="55"/>
      <c r="H2" s="19">
        <f ca="1">TODAY()</f>
        <v>46306</v>
      </c>
    </row>
    <row r="4" spans="2:14" ht="30" customHeight="1" x14ac:dyDescent="0.25">
      <c r="B4" s="44" t="s">
        <v>344</v>
      </c>
      <c r="C4" s="44"/>
      <c r="D4" s="44" t="s">
        <v>345</v>
      </c>
      <c r="E4" s="44"/>
      <c r="F4" s="44" t="s">
        <v>346</v>
      </c>
      <c r="G4" s="44"/>
      <c r="H4" s="44" t="s">
        <v>347</v>
      </c>
      <c r="I4" s="44"/>
      <c r="J4" s="44" t="s">
        <v>348</v>
      </c>
      <c r="K4" s="44"/>
    </row>
    <row r="5" spans="2:14" ht="37.5" customHeight="1" x14ac:dyDescent="0.25">
      <c r="B5" s="46">
        <f>COUNTA(Base_Altas_Recibidas!$A$5:$A$104)</f>
        <v>100</v>
      </c>
      <c r="C5" s="46"/>
      <c r="D5" s="46">
        <f ca="1">COUNTIF(Base_Altas_Recibidas!$K$5:$K$104,"APROBADO_CARGA_PIMS")</f>
        <v>62</v>
      </c>
      <c r="E5" s="46"/>
      <c r="F5" s="46">
        <f ca="1">COUNTIF(Base_Altas_Recibidas!$K$5:$K$104,"RECHAZADO*")</f>
        <v>38</v>
      </c>
      <c r="G5" s="46"/>
      <c r="H5" s="53">
        <f ca="1">IF(B5=0,0,D5/B5)</f>
        <v>0.62</v>
      </c>
      <c r="I5" s="53"/>
      <c r="J5" s="54">
        <f ca="1">SUMIFS(Base_Altas_Recibidas!$I$5:$I$104,Base_Altas_Recibidas!$K$5:$K$104,"APROBADO_CARGA_PIMS")</f>
        <v>788380</v>
      </c>
      <c r="K5" s="54"/>
    </row>
    <row r="6" spans="2:14" ht="19.5" customHeight="1" x14ac:dyDescent="0.25">
      <c r="B6" s="40" t="s">
        <v>349</v>
      </c>
      <c r="C6" s="40"/>
      <c r="D6" s="40" t="s">
        <v>350</v>
      </c>
      <c r="E6" s="40"/>
      <c r="F6" s="40" t="s">
        <v>351</v>
      </c>
      <c r="G6" s="40"/>
      <c r="H6" s="40" t="s">
        <v>352</v>
      </c>
      <c r="I6" s="40"/>
      <c r="J6" s="40" t="s">
        <v>353</v>
      </c>
      <c r="K6" s="40"/>
    </row>
    <row r="8" spans="2:14" ht="21.75" customHeight="1" x14ac:dyDescent="0.25">
      <c r="B8" s="41" t="s">
        <v>354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</row>
    <row r="9" spans="2:14" ht="48" customHeight="1" x14ac:dyDescent="0.25">
      <c r="B9" s="20" t="s">
        <v>4</v>
      </c>
      <c r="C9" s="20" t="s">
        <v>355</v>
      </c>
      <c r="D9" s="20" t="s">
        <v>356</v>
      </c>
      <c r="E9" s="20" t="s">
        <v>357</v>
      </c>
      <c r="F9" s="20" t="s">
        <v>358</v>
      </c>
      <c r="G9" s="20" t="s">
        <v>359</v>
      </c>
      <c r="H9" s="20" t="s">
        <v>360</v>
      </c>
      <c r="I9" s="20" t="s">
        <v>361</v>
      </c>
      <c r="J9" s="20" t="s">
        <v>362</v>
      </c>
      <c r="K9" s="20" t="s">
        <v>363</v>
      </c>
      <c r="L9" s="20" t="s">
        <v>364</v>
      </c>
      <c r="M9" s="20" t="s">
        <v>365</v>
      </c>
      <c r="N9" s="20" t="s">
        <v>366</v>
      </c>
    </row>
    <row r="10" spans="2:14" x14ac:dyDescent="0.25">
      <c r="B10" s="17" t="s">
        <v>34</v>
      </c>
      <c r="C10" s="21">
        <f>COUNTIF(Base_Altas_Recibidas!$C$5:$C$104,$B10)</f>
        <v>43</v>
      </c>
      <c r="D10" s="21">
        <f ca="1">COUNTIFS(Base_Altas_Recibidas!$C$5:$C$104,$B10,Base_Altas_Recibidas!$K$5:$K$104,"APROBADO_CARGA_PIMS")</f>
        <v>26</v>
      </c>
      <c r="E10" s="21">
        <f ca="1">COUNTIFS(Base_Altas_Recibidas!$C$5:$C$104,$B10,Base_Altas_Recibidas!$K$5:$K$104,"RECHAZADO_DATOS_INCOMPLETOS")</f>
        <v>0</v>
      </c>
      <c r="F10" s="21">
        <f ca="1">COUNTIFS(Base_Altas_Recibidas!$C$5:$C$104,$B10,Base_Altas_Recibidas!$K$5:$K$104,"RECHAZADO_ID_DUPLICADO")</f>
        <v>0</v>
      </c>
      <c r="G10" s="21">
        <f ca="1">COUNTIFS(Base_Altas_Recibidas!$C$5:$C$104,$B10,Base_Altas_Recibidas!$K$5:$K$104,"RECHAZADO_PLAN_NO_CATALOGADO")</f>
        <v>0</v>
      </c>
      <c r="H10" s="21">
        <f ca="1">COUNTIFS(Base_Altas_Recibidas!$C$5:$C$104,$B10,Base_Altas_Recibidas!$K$5:$K$104,"RECHAZADO_ELEGIBILIDAD")</f>
        <v>9</v>
      </c>
      <c r="I10" s="22">
        <f ca="1">COUNTIFS(Base_Altas_Recibidas!$C$5:$C$104,$B10,Base_Altas_Recibidas!$K$5:$K$104,"RECHAZADO_RUT_INVALIDO")</f>
        <v>5</v>
      </c>
      <c r="J10" s="11">
        <f ca="1">COUNTIFS(Base_Altas_Recibidas!$C$5:$C$104,$B10,Base_Altas_Recibidas!$K$5:$K$104,"RECHAZADO_DESCALCE_PRIMA")</f>
        <v>3</v>
      </c>
      <c r="K10" s="22">
        <f ca="1">SUM(E10:J10)</f>
        <v>17</v>
      </c>
      <c r="L10" s="22">
        <f ca="1">IF(C10=0,0,D10/C10)</f>
        <v>0.60465116279069764</v>
      </c>
      <c r="M10" s="11">
        <f ca="1">SUMIFS(Base_Altas_Recibidas!$I$5:$I$104,Base_Altas_Recibidas!$C$5:$C$104,$B10,Base_Altas_Recibidas!$K$5:$K$104,"APROBADO_CARGA_PIMS")</f>
        <v>335740</v>
      </c>
      <c r="N10" s="22">
        <f>IF($C$13=0,0,C10/$C$13)</f>
        <v>0.43</v>
      </c>
    </row>
    <row r="11" spans="2:14" x14ac:dyDescent="0.25">
      <c r="B11" s="17" t="s">
        <v>27</v>
      </c>
      <c r="C11" s="21">
        <f>COUNTIF(Base_Altas_Recibidas!$C$5:$C$104,$B11)</f>
        <v>30</v>
      </c>
      <c r="D11" s="21">
        <f ca="1">COUNTIFS(Base_Altas_Recibidas!$C$5:$C$104,$B11,Base_Altas_Recibidas!$K$5:$K$104,"APROBADO_CARGA_PIMS")</f>
        <v>19</v>
      </c>
      <c r="E11" s="21">
        <f ca="1">COUNTIFS(Base_Altas_Recibidas!$C$5:$C$104,$B11,Base_Altas_Recibidas!$K$5:$K$104,"RECHAZADO_DATOS_INCOMPLETOS")</f>
        <v>0</v>
      </c>
      <c r="F11" s="21">
        <f ca="1">COUNTIFS(Base_Altas_Recibidas!$C$5:$C$104,$B11,Base_Altas_Recibidas!$K$5:$K$104,"RECHAZADO_ID_DUPLICADO")</f>
        <v>0</v>
      </c>
      <c r="G11" s="21">
        <f ca="1">COUNTIFS(Base_Altas_Recibidas!$C$5:$C$104,$B11,Base_Altas_Recibidas!$K$5:$K$104,"RECHAZADO_PLAN_NO_CATALOGADO")</f>
        <v>0</v>
      </c>
      <c r="H11" s="21">
        <f ca="1">COUNTIFS(Base_Altas_Recibidas!$C$5:$C$104,$B11,Base_Altas_Recibidas!$K$5:$K$104,"RECHAZADO_ELEGIBILIDAD")</f>
        <v>4</v>
      </c>
      <c r="I11" s="22">
        <f ca="1">COUNTIFS(Base_Altas_Recibidas!$C$5:$C$104,$B11,Base_Altas_Recibidas!$K$5:$K$104,"RECHAZADO_RUT_INVALIDO")</f>
        <v>2</v>
      </c>
      <c r="J11" s="11">
        <f ca="1">COUNTIFS(Base_Altas_Recibidas!$C$5:$C$104,$B11,Base_Altas_Recibidas!$K$5:$K$104,"RECHAZADO_DESCALCE_PRIMA")</f>
        <v>5</v>
      </c>
      <c r="K11" s="22">
        <f ca="1">SUM(E11:J11)</f>
        <v>11</v>
      </c>
      <c r="L11" s="22">
        <f ca="1">IF(C11=0,0,D11/C11)</f>
        <v>0.6333333333333333</v>
      </c>
      <c r="M11" s="11">
        <f ca="1">SUMIFS(Base_Altas_Recibidas!$I$5:$I$104,Base_Altas_Recibidas!$C$5:$C$104,$B11,Base_Altas_Recibidas!$K$5:$K$104,"APROBADO_CARGA_PIMS")</f>
        <v>243810</v>
      </c>
      <c r="N11" s="22">
        <f>IF($C$13=0,0,C11/$C$13)</f>
        <v>0.3</v>
      </c>
    </row>
    <row r="12" spans="2:14" x14ac:dyDescent="0.25">
      <c r="B12" s="17" t="s">
        <v>22</v>
      </c>
      <c r="C12" s="21">
        <f>COUNTIF(Base_Altas_Recibidas!$C$5:$C$104,$B12)</f>
        <v>27</v>
      </c>
      <c r="D12" s="21">
        <f ca="1">COUNTIFS(Base_Altas_Recibidas!$C$5:$C$104,$B12,Base_Altas_Recibidas!$K$5:$K$104,"APROBADO_CARGA_PIMS")</f>
        <v>17</v>
      </c>
      <c r="E12" s="21">
        <f ca="1">COUNTIFS(Base_Altas_Recibidas!$C$5:$C$104,$B12,Base_Altas_Recibidas!$K$5:$K$104,"RECHAZADO_DATOS_INCOMPLETOS")</f>
        <v>0</v>
      </c>
      <c r="F12" s="21">
        <f ca="1">COUNTIFS(Base_Altas_Recibidas!$C$5:$C$104,$B12,Base_Altas_Recibidas!$K$5:$K$104,"RECHAZADO_ID_DUPLICADO")</f>
        <v>0</v>
      </c>
      <c r="G12" s="21">
        <f ca="1">COUNTIFS(Base_Altas_Recibidas!$C$5:$C$104,$B12,Base_Altas_Recibidas!$K$5:$K$104,"RECHAZADO_PLAN_NO_CATALOGADO")</f>
        <v>0</v>
      </c>
      <c r="H12" s="21">
        <f ca="1">COUNTIFS(Base_Altas_Recibidas!$C$5:$C$104,$B12,Base_Altas_Recibidas!$K$5:$K$104,"RECHAZADO_ELEGIBILIDAD")</f>
        <v>4</v>
      </c>
      <c r="I12" s="22">
        <f ca="1">COUNTIFS(Base_Altas_Recibidas!$C$5:$C$104,$B12,Base_Altas_Recibidas!$K$5:$K$104,"RECHAZADO_RUT_INVALIDO")</f>
        <v>4</v>
      </c>
      <c r="J12" s="11">
        <f ca="1">COUNTIFS(Base_Altas_Recibidas!$C$5:$C$104,$B12,Base_Altas_Recibidas!$K$5:$K$104,"RECHAZADO_DESCALCE_PRIMA")</f>
        <v>2</v>
      </c>
      <c r="K12" s="22">
        <f ca="1">SUM(E12:J12)</f>
        <v>10</v>
      </c>
      <c r="L12" s="22">
        <f ca="1">IF(C12=0,0,D12/C12)</f>
        <v>0.62962962962962965</v>
      </c>
      <c r="M12" s="11">
        <f ca="1">SUMIFS(Base_Altas_Recibidas!$I$5:$I$104,Base_Altas_Recibidas!$C$5:$C$104,$B12,Base_Altas_Recibidas!$K$5:$K$104,"APROBADO_CARGA_PIMS")</f>
        <v>208830</v>
      </c>
      <c r="N12" s="22">
        <f>IF($C$13=0,0,C12/$C$13)</f>
        <v>0.27</v>
      </c>
    </row>
    <row r="13" spans="2:14" x14ac:dyDescent="0.25">
      <c r="B13" s="23" t="s">
        <v>367</v>
      </c>
      <c r="C13" s="23">
        <f t="shared" ref="C13:K13" si="0">SUM(C10:C12)</f>
        <v>100</v>
      </c>
      <c r="D13" s="23">
        <f t="shared" ca="1" si="0"/>
        <v>62</v>
      </c>
      <c r="E13" s="23">
        <f t="shared" ca="1" si="0"/>
        <v>0</v>
      </c>
      <c r="F13" s="23">
        <f t="shared" ca="1" si="0"/>
        <v>0</v>
      </c>
      <c r="G13" s="23">
        <f t="shared" ca="1" si="0"/>
        <v>0</v>
      </c>
      <c r="H13" s="23">
        <f t="shared" ca="1" si="0"/>
        <v>17</v>
      </c>
      <c r="I13" s="24">
        <f t="shared" ca="1" si="0"/>
        <v>11</v>
      </c>
      <c r="J13" s="23">
        <f t="shared" ca="1" si="0"/>
        <v>10</v>
      </c>
      <c r="K13" s="24">
        <f t="shared" ca="1" si="0"/>
        <v>38</v>
      </c>
      <c r="L13" s="25">
        <f ca="1">IF(C13=0,0,D13/C13)</f>
        <v>0.62</v>
      </c>
      <c r="M13" s="26">
        <f ca="1">SUM(M10:M12)</f>
        <v>788380</v>
      </c>
      <c r="N13" s="25">
        <f>SUM(N10:N12)</f>
        <v>1</v>
      </c>
    </row>
    <row r="14" spans="2:14" ht="30" customHeight="1" x14ac:dyDescent="0.25">
      <c r="B14" s="51" t="s">
        <v>368</v>
      </c>
      <c r="C14" s="51"/>
      <c r="D14" s="51"/>
      <c r="E14" s="51"/>
      <c r="F14" s="51"/>
      <c r="G14" s="51"/>
      <c r="H14" s="52" t="str">
        <f ca="1">IF(AND(D13+K13=C13,C13=B5,D13=D5,K13=F5),"CUADRA OK","REVISAR")</f>
        <v>CUADRA OK</v>
      </c>
      <c r="I14" s="52"/>
    </row>
    <row r="35" spans="2:14" ht="15" customHeight="1" x14ac:dyDescent="0.25">
      <c r="B35" s="50" t="s">
        <v>369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</row>
    <row r="36" spans="2:14" x14ac:dyDescent="0.25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</row>
    <row r="37" spans="2:14" x14ac:dyDescent="0.25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</row>
    <row r="38" spans="2:14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</row>
    <row r="39" spans="2:14" x14ac:dyDescent="0.25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</row>
    <row r="40" spans="2:14" x14ac:dyDescent="0.25"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</row>
  </sheetData>
  <autoFilter ref="B9:N12" xr:uid="{00000000-0009-0000-0000-000002000000}"/>
  <mergeCells count="21">
    <mergeCell ref="B1:N1"/>
    <mergeCell ref="B2:G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8:N8"/>
    <mergeCell ref="B14:G14"/>
    <mergeCell ref="H14:I14"/>
    <mergeCell ref="B35:N40"/>
    <mergeCell ref="B6:C6"/>
    <mergeCell ref="D6:E6"/>
    <mergeCell ref="F6:G6"/>
    <mergeCell ref="H6:I6"/>
    <mergeCell ref="J6:K6"/>
  </mergeCells>
  <conditionalFormatting sqref="H14:I14">
    <cfRule type="cellIs" dxfId="12" priority="4" operator="equal">
      <formula>"CUADRA OK"</formula>
    </cfRule>
    <cfRule type="cellIs" dxfId="11" priority="5" operator="equal">
      <formula>"REVISAR"</formula>
    </cfRule>
  </conditionalFormatting>
  <conditionalFormatting sqref="I10:I13">
    <cfRule type="expression" dxfId="10" priority="2">
      <formula>I10&gt;=0.8</formula>
    </cfRule>
    <cfRule type="expression" dxfId="9" priority="3">
      <formula>I10&lt;0.6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  <pageSetUpPr fitToPage="1"/>
  </sheetPr>
  <dimension ref="A1:L111"/>
  <sheetViews>
    <sheetView showGridLines="0" tabSelected="1" zoomScaleNormal="100" workbookViewId="0">
      <pane ySplit="9" topLeftCell="A10" activePane="bottomLeft" state="frozen"/>
      <selection pane="bottomLeft" activeCell="K12" sqref="K12"/>
    </sheetView>
  </sheetViews>
  <sheetFormatPr baseColWidth="10" defaultColWidth="8.7109375" defaultRowHeight="15" customHeight="1" x14ac:dyDescent="0.25"/>
  <cols>
    <col min="1" max="1" width="7" customWidth="1"/>
    <col min="2" max="2" width="16" customWidth="1"/>
    <col min="3" max="3" width="23" customWidth="1"/>
    <col min="4" max="4" width="18" customWidth="1"/>
    <col min="5" max="5" width="28" customWidth="1"/>
    <col min="6" max="6" width="31" customWidth="1"/>
    <col min="7" max="7" width="54" customWidth="1"/>
    <col min="8" max="8" width="58" customWidth="1"/>
    <col min="9" max="9" width="13" customWidth="1"/>
    <col min="10" max="10" width="18" customWidth="1"/>
    <col min="11" max="12" width="16" customWidth="1"/>
  </cols>
  <sheetData>
    <row r="1" spans="1:12" ht="31.5" customHeight="1" x14ac:dyDescent="0.25">
      <c r="A1" s="43" t="s">
        <v>370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35.25" customHeight="1" x14ac:dyDescent="0.25">
      <c r="A2" s="48" t="s">
        <v>371</v>
      </c>
      <c r="B2" s="48"/>
      <c r="C2" s="48"/>
      <c r="D2" s="48"/>
      <c r="E2" s="48"/>
      <c r="F2" s="48"/>
    </row>
    <row r="4" spans="1:12" ht="30" customHeight="1" x14ac:dyDescent="0.25">
      <c r="B4" s="44" t="s">
        <v>372</v>
      </c>
      <c r="C4" s="44"/>
      <c r="D4" s="44" t="s">
        <v>373</v>
      </c>
      <c r="E4" s="44"/>
      <c r="F4" s="4" t="s">
        <v>374</v>
      </c>
      <c r="G4" s="4" t="s">
        <v>375</v>
      </c>
      <c r="H4" s="4" t="s">
        <v>376</v>
      </c>
      <c r="J4" s="45" t="s">
        <v>377</v>
      </c>
      <c r="K4" s="45"/>
      <c r="L4" s="45"/>
    </row>
    <row r="5" spans="1:12" ht="37.5" customHeight="1" x14ac:dyDescent="0.25">
      <c r="B5" s="46">
        <f ca="1">COUNTIF(Base_Altas_Recibidas!$K$5:$K$104,"RECHAZADO*")</f>
        <v>38</v>
      </c>
      <c r="C5" s="46"/>
      <c r="D5" s="46">
        <f ca="1">COUNTIF(Base_Altas_Recibidas!$K$5:$K$104,"RECHAZADO_ELEGIBILIDAD")</f>
        <v>17</v>
      </c>
      <c r="E5" s="46"/>
      <c r="F5" s="3">
        <f ca="1">COUNTIF(Base_Altas_Recibidas!$K$5:$K$104,"RECHAZADO_RUT_INVALIDO")</f>
        <v>11</v>
      </c>
      <c r="G5" s="3">
        <f ca="1">COUNTIF(Base_Altas_Recibidas!$K$5:$K$104,"RECHAZADO_DESCALCE_PRIMA")</f>
        <v>10</v>
      </c>
      <c r="H5" s="27" t="str">
        <f ca="1">IF(AND(D5+F5+G5+J5=B5,COUNT($A$9:$A$108)=B5,B5=Dashboard_Cuadratura_Diaria!$F$5),"CUADRA OK","REVISAR")</f>
        <v>CUADRA OK</v>
      </c>
      <c r="J5" s="47">
        <f ca="1">COUNTIF(Base_Altas_Recibidas!$K$5:$K$104,"RECHAZADO_DATOS_INCOMPLETOS")+COUNTIF(Base_Altas_Recibidas!$K$5:$K$104,"RECHAZADO_ID_DUPLICADO")+COUNTIF(Base_Altas_Recibidas!$K$5:$K$104,"RECHAZADO_PLAN_NO_CATALOGADO")</f>
        <v>0</v>
      </c>
      <c r="K5" s="47"/>
      <c r="L5" s="47"/>
    </row>
    <row r="6" spans="1:12" ht="19.5" customHeight="1" x14ac:dyDescent="0.25">
      <c r="B6" s="40" t="s">
        <v>378</v>
      </c>
      <c r="C6" s="40"/>
      <c r="D6" s="40" t="s">
        <v>379</v>
      </c>
      <c r="E6" s="40"/>
      <c r="F6" s="2" t="s">
        <v>380</v>
      </c>
      <c r="G6" s="2" t="s">
        <v>381</v>
      </c>
      <c r="H6" s="2" t="s">
        <v>382</v>
      </c>
      <c r="J6" s="49" t="s">
        <v>383</v>
      </c>
      <c r="K6" s="49"/>
      <c r="L6" s="49"/>
    </row>
    <row r="7" spans="1:12" ht="21.75" customHeight="1" x14ac:dyDescent="0.25">
      <c r="A7" s="41" t="s">
        <v>384</v>
      </c>
      <c r="B7" s="41"/>
      <c r="C7" s="41"/>
      <c r="D7" s="41"/>
      <c r="E7" s="41"/>
      <c r="F7" s="41"/>
      <c r="G7" s="41"/>
      <c r="H7" s="41"/>
      <c r="I7" s="41"/>
      <c r="J7" s="49"/>
      <c r="K7" s="49"/>
      <c r="L7" s="49"/>
    </row>
    <row r="8" spans="1:12" ht="30" customHeight="1" x14ac:dyDescent="0.25">
      <c r="A8" s="28" t="s">
        <v>385</v>
      </c>
      <c r="B8" s="16" t="s">
        <v>2</v>
      </c>
      <c r="C8" s="16" t="s">
        <v>4</v>
      </c>
      <c r="D8" s="16" t="s">
        <v>5</v>
      </c>
      <c r="E8" s="16" t="s">
        <v>6</v>
      </c>
      <c r="F8" s="16" t="s">
        <v>386</v>
      </c>
      <c r="G8" s="16" t="s">
        <v>387</v>
      </c>
      <c r="H8" s="16" t="s">
        <v>388</v>
      </c>
      <c r="I8" s="28" t="s">
        <v>389</v>
      </c>
      <c r="J8" s="49"/>
      <c r="K8" s="49"/>
      <c r="L8" s="49"/>
    </row>
    <row r="9" spans="1:12" ht="30" customHeight="1" x14ac:dyDescent="0.25">
      <c r="A9" s="1" t="s">
        <v>385</v>
      </c>
      <c r="B9" s="1" t="s">
        <v>2</v>
      </c>
      <c r="C9" s="1" t="s">
        <v>4</v>
      </c>
      <c r="D9" s="1" t="s">
        <v>5</v>
      </c>
      <c r="E9" s="1" t="s">
        <v>6</v>
      </c>
      <c r="F9" s="1" t="s">
        <v>386</v>
      </c>
      <c r="G9" s="1" t="s">
        <v>387</v>
      </c>
      <c r="H9" s="1" t="s">
        <v>388</v>
      </c>
      <c r="I9" s="1" t="s">
        <v>389</v>
      </c>
      <c r="J9" s="49"/>
      <c r="K9" s="49"/>
      <c r="L9" s="49"/>
    </row>
    <row r="10" spans="1:12" ht="30" customHeight="1" x14ac:dyDescent="0.25">
      <c r="A10" s="29">
        <f ca="1">IF(ROWS($A$10:$A10)&lt;=$B$5,ROWS($A$10:$A10),"")</f>
        <v>1</v>
      </c>
      <c r="B10" s="30" t="str">
        <f ca="1">IF($A10="","",INDEX(Base_Altas_Recibidas!$A$5:$A$104,$I10))</f>
        <v>SEC-1003</v>
      </c>
      <c r="C10" s="30" t="str">
        <f ca="1">IF($A10="","",INDEX(Base_Altas_Recibidas!$C$5:$C$104,$I10))</f>
        <v>Socio_Retail_Gamma</v>
      </c>
      <c r="D10" s="30" t="str">
        <f ca="1">IF($A10="","",INDEX(Base_Altas_Recibidas!$D$5:$D$104,$I10))</f>
        <v>21.104.204-4</v>
      </c>
      <c r="E10" s="30" t="str">
        <f ca="1">IF($A10="","",INDEX(Base_Altas_Recibidas!$E$5:$E$104,$I10))</f>
        <v>Tomás Hernández Espinoza</v>
      </c>
      <c r="F10" s="30" t="str">
        <f ca="1">IF($A10="","",INDEX(Base_Altas_Recibidas!$K$5:$K$104,$I10))</f>
        <v>RECHAZADO_DESCALCE_PRIMA</v>
      </c>
      <c r="G10" s="31" t="str">
        <f ca="1">IF($A10="","",IF($F10="RECHAZADO_DATOS_INCOMPLETOS","Campos obligatorios incompletos o fecha/prima inválida",IF($F10="RECHAZADO_ID_DUPLICADO","Identificador de solicitud duplicado: "&amp;$B10,IF($F10="RECHAZADO_PLAN_NO_CATALOGADO","El plan solicitado no existe en el catálogo PIMS: "&amp;INDEX(Base_Altas_Recibidas!$H$5:$H$104,$I10),IF($F10="RECHAZADO_ELEGIBILIDAD","Edad fuera del rango definido en catálogo (18-65 como supuesto del laboratorio): "&amp;INDEX(Base_Altas_Recibidas!$G$5:$G$104,$I10)&amp;" años",IF($F10="RECHAZADO_RUT_INVALIDO",IF(OR(NOT(ISNUMBER(FIND("-",TRIM($D10)))),LEN(INDEX(Base_Altas_Recibidas!$M$5:$M$104,$I10))&lt;8,LEN(INDEX(Base_Altas_Recibidas!$M$5:$M$104,$I10))&gt;9),"Formato de RUT incompleto o inválido","Dígito verificador Módulo 11 no coincide"),"Prima informada ($"&amp;INDEX(Base_Altas_Recibidas!$I$5:$I$104,$I10)&amp;") no coincide con tarifa oficial PIMS ($"&amp;INDEX(Base_Altas_Recibidas!$J$5:$J$104,$I10)&amp;")"))))))</f>
        <v>Prima informada ($17990) no coincide con tarifa oficial PIMS ($18990)</v>
      </c>
      <c r="H10" s="31" t="str">
        <f t="shared" ref="H10:H41" ca="1" si="0">IF($A10="","",IF($F10="RECHAZADO_DATOS_INCOMPLETOS","Completar/corregir los campos de entrada y volver a validar.",IF($F10="RECHAZADO_ID_DUPLICADO","Verificar el ID y asignar un identificador único antes de reenviar.",IF($F10="RECHAZADO_PLAN_NO_CATALOGADO","Confirmar el código/nombre del producto con Suscripción antes de reenviar.",IF($F10="RECHAZADO_ELEGIBILIDAD","No cargar; confirmar elegibilidad según condiciones autorizadas del producto.",IF($F10="RECHAZADO_RUT_INVALIDO","Contrastar con documento de identidad, corregir RUT y volver a validar.","Corregir prima contra el catálogo oficial; si hubo cobro distinto, escalar para regularización."))))))</f>
        <v>Corregir prima contra el catálogo oficial; si hubo cobro distinto, escalar para regularización.</v>
      </c>
      <c r="I10" s="32">
        <f ca="1">IF($A10="","",MATCH($A10,Base_Altas_Recibidas!$O$5:$O$104,0))</f>
        <v>3</v>
      </c>
      <c r="J10" s="49"/>
      <c r="K10" s="49"/>
      <c r="L10" s="49"/>
    </row>
    <row r="11" spans="1:12" ht="30" customHeight="1" x14ac:dyDescent="0.25">
      <c r="A11" s="33">
        <f ca="1">IF(ROWS($A$10:$A11)&lt;=$B$5,ROWS($A$10:$A11),"")</f>
        <v>2</v>
      </c>
      <c r="B11" s="34" t="str">
        <f ca="1">IF($A11="","",INDEX(Base_Altas_Recibidas!$A$5:$A$104,$I11))</f>
        <v>SEC-1004</v>
      </c>
      <c r="C11" s="34" t="str">
        <f ca="1">IF($A11="","",INDEX(Base_Altas_Recibidas!$C$5:$C$104,$I11))</f>
        <v>CallCenter_Alpha</v>
      </c>
      <c r="D11" s="34" t="str">
        <f ca="1">IF($A11="","",INDEX(Base_Altas_Recibidas!$D$5:$D$104,$I11))</f>
        <v>23.435.343-8</v>
      </c>
      <c r="E11" s="34" t="str">
        <f ca="1">IF($A11="","",INDEX(Base_Altas_Recibidas!$E$5:$E$104,$I11))</f>
        <v>Rodrigo Morales Hernández</v>
      </c>
      <c r="F11" s="34" t="str">
        <f ca="1">IF($A11="","",INDEX(Base_Altas_Recibidas!$K$5:$K$104,$I11))</f>
        <v>RECHAZADO_ELEGIBILIDAD</v>
      </c>
      <c r="G11" s="35" t="str">
        <f ca="1">IF($A11="","",IF($F11="RECHAZADO_DATOS_INCOMPLETOS","Campos obligatorios incompletos o fecha/prima inválida",IF($F11="RECHAZADO_ID_DUPLICADO","Identificador de solicitud duplicado: "&amp;$B11,IF($F11="RECHAZADO_PLAN_NO_CATALOGADO","El plan solicitado no existe en el catálogo PIMS: "&amp;INDEX(Base_Altas_Recibidas!$H$5:$H$104,$I11),IF($F11="RECHAZADO_ELEGIBILIDAD","Edad fuera del rango definido en catálogo (18-65 como supuesto del laboratorio): "&amp;INDEX(Base_Altas_Recibidas!$G$5:$G$104,$I11)&amp;" años",IF($F11="RECHAZADO_RUT_INVALIDO",IF(OR(NOT(ISNUMBER(FIND("-",TRIM($D11)))),LEN(INDEX(Base_Altas_Recibidas!$M$5:$M$104,$I11))&lt;8,LEN(INDEX(Base_Altas_Recibidas!$M$5:$M$104,$I11))&gt;9),"Formato de RUT incompleto o inválido","Dígito verificador Módulo 11 no coincide"),"Prima informada ($"&amp;INDEX(Base_Altas_Recibidas!$I$5:$I$104,$I11)&amp;") no coincide con tarifa oficial PIMS ($"&amp;INDEX(Base_Altas_Recibidas!$J$5:$J$104,$I11)&amp;")"))))))</f>
        <v>Edad fuera del rango definido en catálogo (18-65 como supuesto del laboratorio): 13 años</v>
      </c>
      <c r="H11" s="35" t="str">
        <f t="shared" ca="1" si="0"/>
        <v>No cargar; confirmar elegibilidad según condiciones autorizadas del producto.</v>
      </c>
      <c r="I11" s="36">
        <f ca="1">IF($A11="","",MATCH($A11,Base_Altas_Recibidas!$O$5:$O$104,0))</f>
        <v>4</v>
      </c>
    </row>
    <row r="12" spans="1:12" ht="30" customHeight="1" x14ac:dyDescent="0.25">
      <c r="A12" s="29">
        <f ca="1">IF(ROWS($A$10:$A12)&lt;=$B$5,ROWS($A$10:$A12),"")</f>
        <v>3</v>
      </c>
      <c r="B12" s="30" t="str">
        <f ca="1">IF($A12="","",INDEX(Base_Altas_Recibidas!$A$5:$A$104,$I12))</f>
        <v>SEC-1008</v>
      </c>
      <c r="C12" s="30" t="str">
        <f ca="1">IF($A12="","",INDEX(Base_Altas_Recibidas!$C$5:$C$104,$I12))</f>
        <v>CallCenter_Beta</v>
      </c>
      <c r="D12" s="30" t="str">
        <f ca="1">IF($A12="","",INDEX(Base_Altas_Recibidas!$D$5:$D$104,$I12))</f>
        <v>15.153.880-0</v>
      </c>
      <c r="E12" s="30" t="str">
        <f ca="1">IF($A12="","",INDEX(Base_Altas_Recibidas!$E$5:$E$104,$I12))</f>
        <v>Valentina López Sepúlveda</v>
      </c>
      <c r="F12" s="30" t="str">
        <f ca="1">IF($A12="","",INDEX(Base_Altas_Recibidas!$K$5:$K$104,$I12))</f>
        <v>RECHAZADO_DESCALCE_PRIMA</v>
      </c>
      <c r="G12" s="31" t="str">
        <f ca="1">IF($A12="","",IF($F12="RECHAZADO_DATOS_INCOMPLETOS","Campos obligatorios incompletos o fecha/prima inválida",IF($F12="RECHAZADO_ID_DUPLICADO","Identificador de solicitud duplicado: "&amp;$B12,IF($F12="RECHAZADO_PLAN_NO_CATALOGADO","El plan solicitado no existe en el catálogo PIMS: "&amp;INDEX(Base_Altas_Recibidas!$H$5:$H$104,$I12),IF($F12="RECHAZADO_ELEGIBILIDAD","Edad fuera del rango definido en catálogo (18-65 como supuesto del laboratorio): "&amp;INDEX(Base_Altas_Recibidas!$G$5:$G$104,$I12)&amp;" años",IF($F12="RECHAZADO_RUT_INVALIDO",IF(OR(NOT(ISNUMBER(FIND("-",TRIM($D12)))),LEN(INDEX(Base_Altas_Recibidas!$M$5:$M$104,$I12))&lt;8,LEN(INDEX(Base_Altas_Recibidas!$M$5:$M$104,$I12))&gt;9),"Formato de RUT incompleto o inválido","Dígito verificador Módulo 11 no coincide"),"Prima informada ($"&amp;INDEX(Base_Altas_Recibidas!$I$5:$I$104,$I12)&amp;") no coincide con tarifa oficial PIMS ($"&amp;INDEX(Base_Altas_Recibidas!$J$5:$J$104,$I12)&amp;")"))))))</f>
        <v>Prima informada ($9490) no coincide con tarifa oficial PIMS ($7990)</v>
      </c>
      <c r="H12" s="31" t="str">
        <f t="shared" ca="1" si="0"/>
        <v>Corregir prima contra el catálogo oficial; si hubo cobro distinto, escalar para regularización.</v>
      </c>
      <c r="I12" s="32">
        <f ca="1">IF($A12="","",MATCH($A12,Base_Altas_Recibidas!$O$5:$O$104,0))</f>
        <v>8</v>
      </c>
    </row>
    <row r="13" spans="1:12" ht="30" customHeight="1" x14ac:dyDescent="0.25">
      <c r="A13" s="33">
        <f ca="1">IF(ROWS($A$10:$A13)&lt;=$B$5,ROWS($A$10:$A13),"")</f>
        <v>4</v>
      </c>
      <c r="B13" s="34" t="str">
        <f ca="1">IF($A13="","",INDEX(Base_Altas_Recibidas!$A$5:$A$104,$I13))</f>
        <v>SEC-1009</v>
      </c>
      <c r="C13" s="34" t="str">
        <f ca="1">IF($A13="","",INDEX(Base_Altas_Recibidas!$C$5:$C$104,$I13))</f>
        <v>CallCenter_Beta</v>
      </c>
      <c r="D13" s="34" t="str">
        <f ca="1">IF($A13="","",INDEX(Base_Altas_Recibidas!$D$5:$D$104,$I13))</f>
        <v>14.839.703-1</v>
      </c>
      <c r="E13" s="34" t="str">
        <f ca="1">IF($A13="","",INDEX(Base_Altas_Recibidas!$E$5:$E$104,$I13))</f>
        <v>Ignacio Sepúlveda Hernández</v>
      </c>
      <c r="F13" s="34" t="str">
        <f ca="1">IF($A13="","",INDEX(Base_Altas_Recibidas!$K$5:$K$104,$I13))</f>
        <v>RECHAZADO_DESCALCE_PRIMA</v>
      </c>
      <c r="G13" s="35" t="str">
        <f ca="1">IF($A13="","",IF($F13="RECHAZADO_DATOS_INCOMPLETOS","Campos obligatorios incompletos o fecha/prima inválida",IF($F13="RECHAZADO_ID_DUPLICADO","Identificador de solicitud duplicado: "&amp;$B13,IF($F13="RECHAZADO_PLAN_NO_CATALOGADO","El plan solicitado no existe en el catálogo PIMS: "&amp;INDEX(Base_Altas_Recibidas!$H$5:$H$104,$I13),IF($F13="RECHAZADO_ELEGIBILIDAD","Edad fuera del rango definido en catálogo (18-65 como supuesto del laboratorio): "&amp;INDEX(Base_Altas_Recibidas!$G$5:$G$104,$I13)&amp;" años",IF($F13="RECHAZADO_RUT_INVALIDO",IF(OR(NOT(ISNUMBER(FIND("-",TRIM($D13)))),LEN(INDEX(Base_Altas_Recibidas!$M$5:$M$104,$I13))&lt;8,LEN(INDEX(Base_Altas_Recibidas!$M$5:$M$104,$I13))&gt;9),"Formato de RUT incompleto o inválido","Dígito verificador Módulo 11 no coincide"),"Prima informada ($"&amp;INDEX(Base_Altas_Recibidas!$I$5:$I$104,$I13)&amp;") no coincide con tarifa oficial PIMS ($"&amp;INDEX(Base_Altas_Recibidas!$J$5:$J$104,$I13)&amp;")"))))))</f>
        <v>Prima informada ($14490) no coincide con tarifa oficial PIMS ($12990)</v>
      </c>
      <c r="H13" s="35" t="str">
        <f t="shared" ca="1" si="0"/>
        <v>Corregir prima contra el catálogo oficial; si hubo cobro distinto, escalar para regularización.</v>
      </c>
      <c r="I13" s="36">
        <f ca="1">IF($A13="","",MATCH($A13,Base_Altas_Recibidas!$O$5:$O$104,0))</f>
        <v>9</v>
      </c>
    </row>
    <row r="14" spans="1:12" ht="30" customHeight="1" x14ac:dyDescent="0.25">
      <c r="A14" s="29">
        <f ca="1">IF(ROWS($A$10:$A14)&lt;=$B$5,ROWS($A$10:$A14),"")</f>
        <v>5</v>
      </c>
      <c r="B14" s="30" t="str">
        <f ca="1">IF($A14="","",INDEX(Base_Altas_Recibidas!$A$5:$A$104,$I14))</f>
        <v>SEC-1011</v>
      </c>
      <c r="C14" s="30" t="str">
        <f ca="1">IF($A14="","",INDEX(Base_Altas_Recibidas!$C$5:$C$104,$I14))</f>
        <v>Socio_Retail_Gamma</v>
      </c>
      <c r="D14" s="30" t="str">
        <f ca="1">IF($A14="","",INDEX(Base_Altas_Recibidas!$D$5:$D$104,$I14))</f>
        <v>6.164.612-7</v>
      </c>
      <c r="E14" s="30" t="str">
        <f ca="1">IF($A14="","",INDEX(Base_Altas_Recibidas!$E$5:$E$104,$I14))</f>
        <v>Macarena Morales Fuentes</v>
      </c>
      <c r="F14" s="30" t="str">
        <f ca="1">IF($A14="","",INDEX(Base_Altas_Recibidas!$K$5:$K$104,$I14))</f>
        <v>RECHAZADO_RUT_INVALIDO</v>
      </c>
      <c r="G14" s="31" t="str">
        <f ca="1">IF($A14="","",IF($F14="RECHAZADO_DATOS_INCOMPLETOS","Campos obligatorios incompletos o fecha/prima inválida",IF($F14="RECHAZADO_ID_DUPLICADO","Identificador de solicitud duplicado: "&amp;$B14,IF($F14="RECHAZADO_PLAN_NO_CATALOGADO","El plan solicitado no existe en el catálogo PIMS: "&amp;INDEX(Base_Altas_Recibidas!$H$5:$H$104,$I14),IF($F14="RECHAZADO_ELEGIBILIDAD","Edad fuera del rango definido en catálogo (18-65 como supuesto del laboratorio): "&amp;INDEX(Base_Altas_Recibidas!$G$5:$G$104,$I14)&amp;" años",IF($F14="RECHAZADO_RUT_INVALIDO",IF(OR(NOT(ISNUMBER(FIND("-",TRIM($D14)))),LEN(INDEX(Base_Altas_Recibidas!$M$5:$M$104,$I14))&lt;8,LEN(INDEX(Base_Altas_Recibidas!$M$5:$M$104,$I14))&gt;9),"Formato de RUT incompleto o inválido","Dígito verificador Módulo 11 no coincide"),"Prima informada ($"&amp;INDEX(Base_Altas_Recibidas!$I$5:$I$104,$I14)&amp;") no coincide con tarifa oficial PIMS ($"&amp;INDEX(Base_Altas_Recibidas!$J$5:$J$104,$I14)&amp;")"))))))</f>
        <v>Dígito verificador Módulo 11 no coincide</v>
      </c>
      <c r="H14" s="31" t="str">
        <f t="shared" ca="1" si="0"/>
        <v>Contrastar con documento de identidad, corregir RUT y volver a validar.</v>
      </c>
      <c r="I14" s="32">
        <f ca="1">IF($A14="","",MATCH($A14,Base_Altas_Recibidas!$O$5:$O$104,0))</f>
        <v>11</v>
      </c>
    </row>
    <row r="15" spans="1:12" ht="30" customHeight="1" x14ac:dyDescent="0.25">
      <c r="A15" s="33">
        <f ca="1">IF(ROWS($A$10:$A15)&lt;=$B$5,ROWS($A$10:$A15),"")</f>
        <v>6</v>
      </c>
      <c r="B15" s="34" t="str">
        <f ca="1">IF($A15="","",INDEX(Base_Altas_Recibidas!$A$5:$A$104,$I15))</f>
        <v>SEC-1014</v>
      </c>
      <c r="C15" s="34" t="str">
        <f ca="1">IF($A15="","",INDEX(Base_Altas_Recibidas!$C$5:$C$104,$I15))</f>
        <v>CallCenter_Beta</v>
      </c>
      <c r="D15" s="34" t="str">
        <f ca="1">IF($A15="","",INDEX(Base_Altas_Recibidas!$D$5:$D$104,$I15))</f>
        <v>14.995.966-1</v>
      </c>
      <c r="E15" s="34" t="str">
        <f ca="1">IF($A15="","",INDEX(Base_Altas_Recibidas!$E$5:$E$104,$I15))</f>
        <v>Francisca Díaz Martínez</v>
      </c>
      <c r="F15" s="34" t="str">
        <f ca="1">IF($A15="","",INDEX(Base_Altas_Recibidas!$K$5:$K$104,$I15))</f>
        <v>RECHAZADO_ELEGIBILIDAD</v>
      </c>
      <c r="G15" s="35" t="str">
        <f ca="1">IF($A15="","",IF($F15="RECHAZADO_DATOS_INCOMPLETOS","Campos obligatorios incompletos o fecha/prima inválida",IF($F15="RECHAZADO_ID_DUPLICADO","Identificador de solicitud duplicado: "&amp;$B15,IF($F15="RECHAZADO_PLAN_NO_CATALOGADO","El plan solicitado no existe en el catálogo PIMS: "&amp;INDEX(Base_Altas_Recibidas!$H$5:$H$104,$I15),IF($F15="RECHAZADO_ELEGIBILIDAD","Edad fuera del rango definido en catálogo (18-65 como supuesto del laboratorio): "&amp;INDEX(Base_Altas_Recibidas!$G$5:$G$104,$I15)&amp;" años",IF($F15="RECHAZADO_RUT_INVALIDO",IF(OR(NOT(ISNUMBER(FIND("-",TRIM($D15)))),LEN(INDEX(Base_Altas_Recibidas!$M$5:$M$104,$I15))&lt;8,LEN(INDEX(Base_Altas_Recibidas!$M$5:$M$104,$I15))&gt;9),"Formato de RUT incompleto o inválido","Dígito verificador Módulo 11 no coincide"),"Prima informada ($"&amp;INDEX(Base_Altas_Recibidas!$I$5:$I$104,$I15)&amp;") no coincide con tarifa oficial PIMS ($"&amp;INDEX(Base_Altas_Recibidas!$J$5:$J$104,$I15)&amp;")"))))))</f>
        <v>Edad fuera del rango definido en catálogo (18-65 como supuesto del laboratorio): 13 años</v>
      </c>
      <c r="H15" s="35" t="str">
        <f t="shared" ca="1" si="0"/>
        <v>No cargar; confirmar elegibilidad según condiciones autorizadas del producto.</v>
      </c>
      <c r="I15" s="36">
        <f ca="1">IF($A15="","",MATCH($A15,Base_Altas_Recibidas!$O$5:$O$104,0))</f>
        <v>14</v>
      </c>
    </row>
    <row r="16" spans="1:12" ht="30" customHeight="1" x14ac:dyDescent="0.25">
      <c r="A16" s="29">
        <f ca="1">IF(ROWS($A$10:$A16)&lt;=$B$5,ROWS($A$10:$A16),"")</f>
        <v>7</v>
      </c>
      <c r="B16" s="30" t="str">
        <f ca="1">IF($A16="","",INDEX(Base_Altas_Recibidas!$A$5:$A$104,$I16))</f>
        <v>SEC-1015</v>
      </c>
      <c r="C16" s="30" t="str">
        <f ca="1">IF($A16="","",INDEX(Base_Altas_Recibidas!$C$5:$C$104,$I16))</f>
        <v>CallCenter_Beta</v>
      </c>
      <c r="D16" s="30" t="str">
        <f ca="1">IF($A16="","",INDEX(Base_Altas_Recibidas!$D$5:$D$104,$I16))</f>
        <v>9.557.968-K</v>
      </c>
      <c r="E16" s="30" t="str">
        <f ca="1">IF($A16="","",INDEX(Base_Altas_Recibidas!$E$5:$E$104,$I16))</f>
        <v>Cristóbal Soto Castillo</v>
      </c>
      <c r="F16" s="30" t="str">
        <f ca="1">IF($A16="","",INDEX(Base_Altas_Recibidas!$K$5:$K$104,$I16))</f>
        <v>RECHAZADO_ELEGIBILIDAD</v>
      </c>
      <c r="G16" s="31" t="str">
        <f ca="1">IF($A16="","",IF($F16="RECHAZADO_DATOS_INCOMPLETOS","Campos obligatorios incompletos o fecha/prima inválida",IF($F16="RECHAZADO_ID_DUPLICADO","Identificador de solicitud duplicado: "&amp;$B16,IF($F16="RECHAZADO_PLAN_NO_CATALOGADO","El plan solicitado no existe en el catálogo PIMS: "&amp;INDEX(Base_Altas_Recibidas!$H$5:$H$104,$I16),IF($F16="RECHAZADO_ELEGIBILIDAD","Edad fuera del rango definido en catálogo (18-65 como supuesto del laboratorio): "&amp;INDEX(Base_Altas_Recibidas!$G$5:$G$104,$I16)&amp;" años",IF($F16="RECHAZADO_RUT_INVALIDO",IF(OR(NOT(ISNUMBER(FIND("-",TRIM($D16)))),LEN(INDEX(Base_Altas_Recibidas!$M$5:$M$104,$I16))&lt;8,LEN(INDEX(Base_Altas_Recibidas!$M$5:$M$104,$I16))&gt;9),"Formato de RUT incompleto o inválido","Dígito verificador Módulo 11 no coincide"),"Prima informada ($"&amp;INDEX(Base_Altas_Recibidas!$I$5:$I$104,$I16)&amp;") no coincide con tarifa oficial PIMS ($"&amp;INDEX(Base_Altas_Recibidas!$J$5:$J$104,$I16)&amp;")"))))))</f>
        <v>Edad fuera del rango definido en catálogo (18-65 como supuesto del laboratorio): 73 años</v>
      </c>
      <c r="H16" s="31" t="str">
        <f t="shared" ca="1" si="0"/>
        <v>No cargar; confirmar elegibilidad según condiciones autorizadas del producto.</v>
      </c>
      <c r="I16" s="32">
        <f ca="1">IF($A16="","",MATCH($A16,Base_Altas_Recibidas!$O$5:$O$104,0))</f>
        <v>15</v>
      </c>
    </row>
    <row r="17" spans="1:9" ht="30" customHeight="1" x14ac:dyDescent="0.25">
      <c r="A17" s="33">
        <f ca="1">IF(ROWS($A$10:$A17)&lt;=$B$5,ROWS($A$10:$A17),"")</f>
        <v>8</v>
      </c>
      <c r="B17" s="34" t="str">
        <f ca="1">IF($A17="","",INDEX(Base_Altas_Recibidas!$A$5:$A$104,$I17))</f>
        <v>SEC-1016</v>
      </c>
      <c r="C17" s="34" t="str">
        <f ca="1">IF($A17="","",INDEX(Base_Altas_Recibidas!$C$5:$C$104,$I17))</f>
        <v>CallCenter_Beta</v>
      </c>
      <c r="D17" s="34" t="str">
        <f ca="1">IF($A17="","",INDEX(Base_Altas_Recibidas!$D$5:$D$104,$I17))</f>
        <v>16.521.022-0</v>
      </c>
      <c r="E17" s="34" t="str">
        <f ca="1">IF($A17="","",INDEX(Base_Altas_Recibidas!$E$5:$E$104,$I17))</f>
        <v>Valentina Sepúlveda Morales</v>
      </c>
      <c r="F17" s="34" t="str">
        <f ca="1">IF($A17="","",INDEX(Base_Altas_Recibidas!$K$5:$K$104,$I17))</f>
        <v>RECHAZADO_DESCALCE_PRIMA</v>
      </c>
      <c r="G17" s="35" t="str">
        <f ca="1">IF($A17="","",IF($F17="RECHAZADO_DATOS_INCOMPLETOS","Campos obligatorios incompletos o fecha/prima inválida",IF($F17="RECHAZADO_ID_DUPLICADO","Identificador de solicitud duplicado: "&amp;$B17,IF($F17="RECHAZADO_PLAN_NO_CATALOGADO","El plan solicitado no existe en el catálogo PIMS: "&amp;INDEX(Base_Altas_Recibidas!$H$5:$H$104,$I17),IF($F17="RECHAZADO_ELEGIBILIDAD","Edad fuera del rango definido en catálogo (18-65 como supuesto del laboratorio): "&amp;INDEX(Base_Altas_Recibidas!$G$5:$G$104,$I17)&amp;" años",IF($F17="RECHAZADO_RUT_INVALIDO",IF(OR(NOT(ISNUMBER(FIND("-",TRIM($D17)))),LEN(INDEX(Base_Altas_Recibidas!$M$5:$M$104,$I17))&lt;8,LEN(INDEX(Base_Altas_Recibidas!$M$5:$M$104,$I17))&gt;9),"Formato de RUT incompleto o inválido","Dígito verificador Módulo 11 no coincide"),"Prima informada ($"&amp;INDEX(Base_Altas_Recibidas!$I$5:$I$104,$I17)&amp;") no coincide con tarifa oficial PIMS ($"&amp;INDEX(Base_Altas_Recibidas!$J$5:$J$104,$I17)&amp;")"))))))</f>
        <v>Prima informada ($6990) no coincide con tarifa oficial PIMS ($7990)</v>
      </c>
      <c r="H17" s="35" t="str">
        <f t="shared" ca="1" si="0"/>
        <v>Corregir prima contra el catálogo oficial; si hubo cobro distinto, escalar para regularización.</v>
      </c>
      <c r="I17" s="36">
        <f ca="1">IF($A17="","",MATCH($A17,Base_Altas_Recibidas!$O$5:$O$104,0))</f>
        <v>16</v>
      </c>
    </row>
    <row r="18" spans="1:9" ht="30" customHeight="1" x14ac:dyDescent="0.25">
      <c r="A18" s="29">
        <f ca="1">IF(ROWS($A$10:$A18)&lt;=$B$5,ROWS($A$10:$A18),"")</f>
        <v>9</v>
      </c>
      <c r="B18" s="30" t="str">
        <f ca="1">IF($A18="","",INDEX(Base_Altas_Recibidas!$A$5:$A$104,$I18))</f>
        <v>SEC-1019</v>
      </c>
      <c r="C18" s="30" t="str">
        <f ca="1">IF($A18="","",INDEX(Base_Altas_Recibidas!$C$5:$C$104,$I18))</f>
        <v>Socio_Retail_Gamma</v>
      </c>
      <c r="D18" s="30" t="str">
        <f ca="1">IF($A18="","",INDEX(Base_Altas_Recibidas!$D$5:$D$104,$I18))</f>
        <v>21.302.321-0</v>
      </c>
      <c r="E18" s="30" t="str">
        <f ca="1">IF($A18="","",INDEX(Base_Altas_Recibidas!$E$5:$E$104,$I18))</f>
        <v>Daniela Valenzuela Contreras</v>
      </c>
      <c r="F18" s="30" t="str">
        <f ca="1">IF($A18="","",INDEX(Base_Altas_Recibidas!$K$5:$K$104,$I18))</f>
        <v>RECHAZADO_RUT_INVALIDO</v>
      </c>
      <c r="G18" s="31" t="str">
        <f ca="1">IF($A18="","",IF($F18="RECHAZADO_DATOS_INCOMPLETOS","Campos obligatorios incompletos o fecha/prima inválida",IF($F18="RECHAZADO_ID_DUPLICADO","Identificador de solicitud duplicado: "&amp;$B18,IF($F18="RECHAZADO_PLAN_NO_CATALOGADO","El plan solicitado no existe en el catálogo PIMS: "&amp;INDEX(Base_Altas_Recibidas!$H$5:$H$104,$I18),IF($F18="RECHAZADO_ELEGIBILIDAD","Edad fuera del rango definido en catálogo (18-65 como supuesto del laboratorio): "&amp;INDEX(Base_Altas_Recibidas!$G$5:$G$104,$I18)&amp;" años",IF($F18="RECHAZADO_RUT_INVALIDO",IF(OR(NOT(ISNUMBER(FIND("-",TRIM($D18)))),LEN(INDEX(Base_Altas_Recibidas!$M$5:$M$104,$I18))&lt;8,LEN(INDEX(Base_Altas_Recibidas!$M$5:$M$104,$I18))&gt;9),"Formato de RUT incompleto o inválido","Dígito verificador Módulo 11 no coincide"),"Prima informada ($"&amp;INDEX(Base_Altas_Recibidas!$I$5:$I$104,$I18)&amp;") no coincide con tarifa oficial PIMS ($"&amp;INDEX(Base_Altas_Recibidas!$J$5:$J$104,$I18)&amp;")"))))))</f>
        <v>Dígito verificador Módulo 11 no coincide</v>
      </c>
      <c r="H18" s="31" t="str">
        <f t="shared" ca="1" si="0"/>
        <v>Contrastar con documento de identidad, corregir RUT y volver a validar.</v>
      </c>
      <c r="I18" s="32">
        <f ca="1">IF($A18="","",MATCH($A18,Base_Altas_Recibidas!$O$5:$O$104,0))</f>
        <v>19</v>
      </c>
    </row>
    <row r="19" spans="1:9" ht="30" customHeight="1" x14ac:dyDescent="0.25">
      <c r="A19" s="33">
        <f ca="1">IF(ROWS($A$10:$A19)&lt;=$B$5,ROWS($A$10:$A19),"")</f>
        <v>10</v>
      </c>
      <c r="B19" s="34" t="str">
        <f ca="1">IF($A19="","",INDEX(Base_Altas_Recibidas!$A$5:$A$104,$I19))</f>
        <v>SEC-1021</v>
      </c>
      <c r="C19" s="34" t="str">
        <f ca="1">IF($A19="","",INDEX(Base_Altas_Recibidas!$C$5:$C$104,$I19))</f>
        <v>CallCenter_Alpha</v>
      </c>
      <c r="D19" s="34" t="str">
        <f ca="1">IF($A19="","",INDEX(Base_Altas_Recibidas!$D$5:$D$104,$I19))</f>
        <v>7.933.76S-K</v>
      </c>
      <c r="E19" s="34" t="str">
        <f ca="1">IF($A19="","",INDEX(Base_Altas_Recibidas!$E$5:$E$104,$I19))</f>
        <v>Daniela Sepúlveda Díaz</v>
      </c>
      <c r="F19" s="34" t="str">
        <f ca="1">IF($A19="","",INDEX(Base_Altas_Recibidas!$K$5:$K$104,$I19))</f>
        <v>RECHAZADO_RUT_INVALIDO</v>
      </c>
      <c r="G19" s="35" t="str">
        <f ca="1">IF($A19="","",IF($F19="RECHAZADO_DATOS_INCOMPLETOS","Campos obligatorios incompletos o fecha/prima inválida",IF($F19="RECHAZADO_ID_DUPLICADO","Identificador de solicitud duplicado: "&amp;$B19,IF($F19="RECHAZADO_PLAN_NO_CATALOGADO","El plan solicitado no existe en el catálogo PIMS: "&amp;INDEX(Base_Altas_Recibidas!$H$5:$H$104,$I19),IF($F19="RECHAZADO_ELEGIBILIDAD","Edad fuera del rango definido en catálogo (18-65 como supuesto del laboratorio): "&amp;INDEX(Base_Altas_Recibidas!$G$5:$G$104,$I19)&amp;" años",IF($F19="RECHAZADO_RUT_INVALIDO",IF(OR(NOT(ISNUMBER(FIND("-",TRIM($D19)))),LEN(INDEX(Base_Altas_Recibidas!$M$5:$M$104,$I19))&lt;8,LEN(INDEX(Base_Altas_Recibidas!$M$5:$M$104,$I19))&gt;9),"Formato de RUT incompleto o inválido","Dígito verificador Módulo 11 no coincide"),"Prima informada ($"&amp;INDEX(Base_Altas_Recibidas!$I$5:$I$104,$I19)&amp;") no coincide con tarifa oficial PIMS ($"&amp;INDEX(Base_Altas_Recibidas!$J$5:$J$104,$I19)&amp;")"))))))</f>
        <v>Dígito verificador Módulo 11 no coincide</v>
      </c>
      <c r="H19" s="35" t="str">
        <f t="shared" ca="1" si="0"/>
        <v>Contrastar con documento de identidad, corregir RUT y volver a validar.</v>
      </c>
      <c r="I19" s="36">
        <f ca="1">IF($A19="","",MATCH($A19,Base_Altas_Recibidas!$O$5:$O$104,0))</f>
        <v>21</v>
      </c>
    </row>
    <row r="20" spans="1:9" ht="30" customHeight="1" x14ac:dyDescent="0.25">
      <c r="A20" s="29">
        <f ca="1">IF(ROWS($A$10:$A20)&lt;=$B$5,ROWS($A$10:$A20),"")</f>
        <v>11</v>
      </c>
      <c r="B20" s="30" t="str">
        <f ca="1">IF($A20="","",INDEX(Base_Altas_Recibidas!$A$5:$A$104,$I20))</f>
        <v>SEC-1022</v>
      </c>
      <c r="C20" s="30" t="str">
        <f ca="1">IF($A20="","",INDEX(Base_Altas_Recibidas!$C$5:$C$104,$I20))</f>
        <v>Socio_Retail_Gamma</v>
      </c>
      <c r="D20" s="30" t="str">
        <f ca="1">IF($A20="","",INDEX(Base_Altas_Recibidas!$D$5:$D$104,$I20))</f>
        <v>16.699.921-2</v>
      </c>
      <c r="E20" s="30" t="str">
        <f ca="1">IF($A20="","",INDEX(Base_Altas_Recibidas!$E$5:$E$104,$I20))</f>
        <v>Constanza Flores Muñoz</v>
      </c>
      <c r="F20" s="30" t="str">
        <f ca="1">IF($A20="","",INDEX(Base_Altas_Recibidas!$K$5:$K$104,$I20))</f>
        <v>RECHAZADO_RUT_INVALIDO</v>
      </c>
      <c r="G20" s="31" t="str">
        <f ca="1">IF($A20="","",IF($F20="RECHAZADO_DATOS_INCOMPLETOS","Campos obligatorios incompletos o fecha/prima inválida",IF($F20="RECHAZADO_ID_DUPLICADO","Identificador de solicitud duplicado: "&amp;$B20,IF($F20="RECHAZADO_PLAN_NO_CATALOGADO","El plan solicitado no existe en el catálogo PIMS: "&amp;INDEX(Base_Altas_Recibidas!$H$5:$H$104,$I20),IF($F20="RECHAZADO_ELEGIBILIDAD","Edad fuera del rango definido en catálogo (18-65 como supuesto del laboratorio): "&amp;INDEX(Base_Altas_Recibidas!$G$5:$G$104,$I20)&amp;" años",IF($F20="RECHAZADO_RUT_INVALIDO",IF(OR(NOT(ISNUMBER(FIND("-",TRIM($D20)))),LEN(INDEX(Base_Altas_Recibidas!$M$5:$M$104,$I20))&lt;8,LEN(INDEX(Base_Altas_Recibidas!$M$5:$M$104,$I20))&gt;9),"Formato de RUT incompleto o inválido","Dígito verificador Módulo 11 no coincide"),"Prima informada ($"&amp;INDEX(Base_Altas_Recibidas!$I$5:$I$104,$I20)&amp;") no coincide con tarifa oficial PIMS ($"&amp;INDEX(Base_Altas_Recibidas!$J$5:$J$104,$I20)&amp;")"))))))</f>
        <v>Dígito verificador Módulo 11 no coincide</v>
      </c>
      <c r="H20" s="31" t="str">
        <f t="shared" ca="1" si="0"/>
        <v>Contrastar con documento de identidad, corregir RUT y volver a validar.</v>
      </c>
      <c r="I20" s="32">
        <f ca="1">IF($A20="","",MATCH($A20,Base_Altas_Recibidas!$O$5:$O$104,0))</f>
        <v>22</v>
      </c>
    </row>
    <row r="21" spans="1:9" ht="30" customHeight="1" x14ac:dyDescent="0.25">
      <c r="A21" s="33">
        <f ca="1">IF(ROWS($A$10:$A21)&lt;=$B$5,ROWS($A$10:$A21),"")</f>
        <v>12</v>
      </c>
      <c r="B21" s="34" t="str">
        <f ca="1">IF($A21="","",INDEX(Base_Altas_Recibidas!$A$5:$A$104,$I21))</f>
        <v>SEC-1023</v>
      </c>
      <c r="C21" s="34" t="str">
        <f ca="1">IF($A21="","",INDEX(Base_Altas_Recibidas!$C$5:$C$104,$I21))</f>
        <v>CallCenter_Alpha</v>
      </c>
      <c r="D21" s="34" t="str">
        <f ca="1">IF($A21="","",INDEX(Base_Altas_Recibidas!$D$5:$D$104,$I21))</f>
        <v>10.116.632-5</v>
      </c>
      <c r="E21" s="34" t="str">
        <f ca="1">IF($A21="","",INDEX(Base_Altas_Recibidas!$E$5:$E$104,$I21))</f>
        <v>Francisca Araya Rodríguez</v>
      </c>
      <c r="F21" s="34" t="str">
        <f ca="1">IF($A21="","",INDEX(Base_Altas_Recibidas!$K$5:$K$104,$I21))</f>
        <v>RECHAZADO_ELEGIBILIDAD</v>
      </c>
      <c r="G21" s="35" t="str">
        <f ca="1">IF($A21="","",IF($F21="RECHAZADO_DATOS_INCOMPLETOS","Campos obligatorios incompletos o fecha/prima inválida",IF($F21="RECHAZADO_ID_DUPLICADO","Identificador de solicitud duplicado: "&amp;$B21,IF($F21="RECHAZADO_PLAN_NO_CATALOGADO","El plan solicitado no existe en el catálogo PIMS: "&amp;INDEX(Base_Altas_Recibidas!$H$5:$H$104,$I21),IF($F21="RECHAZADO_ELEGIBILIDAD","Edad fuera del rango definido en catálogo (18-65 como supuesto del laboratorio): "&amp;INDEX(Base_Altas_Recibidas!$G$5:$G$104,$I21)&amp;" años",IF($F21="RECHAZADO_RUT_INVALIDO",IF(OR(NOT(ISNUMBER(FIND("-",TRIM($D21)))),LEN(INDEX(Base_Altas_Recibidas!$M$5:$M$104,$I21))&lt;8,LEN(INDEX(Base_Altas_Recibidas!$M$5:$M$104,$I21))&gt;9),"Formato de RUT incompleto o inválido","Dígito verificador Módulo 11 no coincide"),"Prima informada ($"&amp;INDEX(Base_Altas_Recibidas!$I$5:$I$104,$I21)&amp;") no coincide con tarifa oficial PIMS ($"&amp;INDEX(Base_Altas_Recibidas!$J$5:$J$104,$I21)&amp;")"))))))</f>
        <v>Edad fuera del rango definido en catálogo (18-65 como supuesto del laboratorio): 12 años</v>
      </c>
      <c r="H21" s="35" t="str">
        <f t="shared" ca="1" si="0"/>
        <v>No cargar; confirmar elegibilidad según condiciones autorizadas del producto.</v>
      </c>
      <c r="I21" s="36">
        <f ca="1">IF($A21="","",MATCH($A21,Base_Altas_Recibidas!$O$5:$O$104,0))</f>
        <v>23</v>
      </c>
    </row>
    <row r="22" spans="1:9" ht="30" customHeight="1" x14ac:dyDescent="0.25">
      <c r="A22" s="29">
        <f ca="1">IF(ROWS($A$10:$A22)&lt;=$B$5,ROWS($A$10:$A22),"")</f>
        <v>13</v>
      </c>
      <c r="B22" s="30" t="str">
        <f ca="1">IF($A22="","",INDEX(Base_Altas_Recibidas!$A$5:$A$104,$I22))</f>
        <v>SEC-1025</v>
      </c>
      <c r="C22" s="30" t="str">
        <f ca="1">IF($A22="","",INDEX(Base_Altas_Recibidas!$C$5:$C$104,$I22))</f>
        <v>CallCenter_Alpha</v>
      </c>
      <c r="D22" s="30" t="str">
        <f ca="1">IF($A22="","",INDEX(Base_Altas_Recibidas!$D$5:$D$104,$I22))</f>
        <v>13.367.388-1</v>
      </c>
      <c r="E22" s="30" t="str">
        <f ca="1">IF($A22="","",INDEX(Base_Altas_Recibidas!$E$5:$E$104,$I22))</f>
        <v>Camila Tapia Flores</v>
      </c>
      <c r="F22" s="30" t="str">
        <f ca="1">IF($A22="","",INDEX(Base_Altas_Recibidas!$K$5:$K$104,$I22))</f>
        <v>RECHAZADO_DESCALCE_PRIMA</v>
      </c>
      <c r="G22" s="31" t="str">
        <f ca="1">IF($A22="","",IF($F22="RECHAZADO_DATOS_INCOMPLETOS","Campos obligatorios incompletos o fecha/prima inválida",IF($F22="RECHAZADO_ID_DUPLICADO","Identificador de solicitud duplicado: "&amp;$B22,IF($F22="RECHAZADO_PLAN_NO_CATALOGADO","El plan solicitado no existe en el catálogo PIMS: "&amp;INDEX(Base_Altas_Recibidas!$H$5:$H$104,$I22),IF($F22="RECHAZADO_ELEGIBILIDAD","Edad fuera del rango definido en catálogo (18-65 como supuesto del laboratorio): "&amp;INDEX(Base_Altas_Recibidas!$G$5:$G$104,$I22)&amp;" años",IF($F22="RECHAZADO_RUT_INVALIDO",IF(OR(NOT(ISNUMBER(FIND("-",TRIM($D22)))),LEN(INDEX(Base_Altas_Recibidas!$M$5:$M$104,$I22))&lt;8,LEN(INDEX(Base_Altas_Recibidas!$M$5:$M$104,$I22))&gt;9),"Formato de RUT incompleto o inválido","Dígito verificador Módulo 11 no coincide"),"Prima informada ($"&amp;INDEX(Base_Altas_Recibidas!$I$5:$I$104,$I22)&amp;") no coincide con tarifa oficial PIMS ($"&amp;INDEX(Base_Altas_Recibidas!$J$5:$J$104,$I22)&amp;")"))))))</f>
        <v>Prima informada ($16990) no coincide con tarifa oficial PIMS ($18990)</v>
      </c>
      <c r="H22" s="31" t="str">
        <f t="shared" ca="1" si="0"/>
        <v>Corregir prima contra el catálogo oficial; si hubo cobro distinto, escalar para regularización.</v>
      </c>
      <c r="I22" s="32">
        <f ca="1">IF($A22="","",MATCH($A22,Base_Altas_Recibidas!$O$5:$O$104,0))</f>
        <v>25</v>
      </c>
    </row>
    <row r="23" spans="1:9" ht="30" customHeight="1" x14ac:dyDescent="0.25">
      <c r="A23" s="33">
        <f ca="1">IF(ROWS($A$10:$A23)&lt;=$B$5,ROWS($A$10:$A23),"")</f>
        <v>14</v>
      </c>
      <c r="B23" s="34" t="str">
        <f ca="1">IF($A23="","",INDEX(Base_Altas_Recibidas!$A$5:$A$104,$I23))</f>
        <v>SEC-1030</v>
      </c>
      <c r="C23" s="34" t="str">
        <f ca="1">IF($A23="","",INDEX(Base_Altas_Recibidas!$C$5:$C$104,$I23))</f>
        <v>Socio_Retail_Gamma</v>
      </c>
      <c r="D23" s="34" t="str">
        <f ca="1">IF($A23="","",INDEX(Base_Altas_Recibidas!$D$5:$D$104,$I23))</f>
        <v>23.066.463-3</v>
      </c>
      <c r="E23" s="34" t="str">
        <f ca="1">IF($A23="","",INDEX(Base_Altas_Recibidas!$E$5:$E$104,$I23))</f>
        <v>Fernanda Rodríguez Silva</v>
      </c>
      <c r="F23" s="34" t="str">
        <f ca="1">IF($A23="","",INDEX(Base_Altas_Recibidas!$K$5:$K$104,$I23))</f>
        <v>RECHAZADO_ELEGIBILIDAD</v>
      </c>
      <c r="G23" s="35" t="str">
        <f ca="1">IF($A23="","",IF($F23="RECHAZADO_DATOS_INCOMPLETOS","Campos obligatorios incompletos o fecha/prima inválida",IF($F23="RECHAZADO_ID_DUPLICADO","Identificador de solicitud duplicado: "&amp;$B23,IF($F23="RECHAZADO_PLAN_NO_CATALOGADO","El plan solicitado no existe en el catálogo PIMS: "&amp;INDEX(Base_Altas_Recibidas!$H$5:$H$104,$I23),IF($F23="RECHAZADO_ELEGIBILIDAD","Edad fuera del rango definido en catálogo (18-65 como supuesto del laboratorio): "&amp;INDEX(Base_Altas_Recibidas!$G$5:$G$104,$I23)&amp;" años",IF($F23="RECHAZADO_RUT_INVALIDO",IF(OR(NOT(ISNUMBER(FIND("-",TRIM($D23)))),LEN(INDEX(Base_Altas_Recibidas!$M$5:$M$104,$I23))&lt;8,LEN(INDEX(Base_Altas_Recibidas!$M$5:$M$104,$I23))&gt;9),"Formato de RUT incompleto o inválido","Dígito verificador Módulo 11 no coincide"),"Prima informada ($"&amp;INDEX(Base_Altas_Recibidas!$I$5:$I$104,$I23)&amp;") no coincide con tarifa oficial PIMS ($"&amp;INDEX(Base_Altas_Recibidas!$J$5:$J$104,$I23)&amp;")"))))))</f>
        <v>Edad fuera del rango definido en catálogo (18-65 como supuesto del laboratorio): 67 años</v>
      </c>
      <c r="H23" s="35" t="str">
        <f t="shared" ca="1" si="0"/>
        <v>No cargar; confirmar elegibilidad según condiciones autorizadas del producto.</v>
      </c>
      <c r="I23" s="36">
        <f ca="1">IF($A23="","",MATCH($A23,Base_Altas_Recibidas!$O$5:$O$104,0))</f>
        <v>30</v>
      </c>
    </row>
    <row r="24" spans="1:9" ht="30" customHeight="1" x14ac:dyDescent="0.25">
      <c r="A24" s="29">
        <f ca="1">IF(ROWS($A$10:$A24)&lt;=$B$5,ROWS($A$10:$A24),"")</f>
        <v>15</v>
      </c>
      <c r="B24" s="30" t="str">
        <f ca="1">IF($A24="","",INDEX(Base_Altas_Recibidas!$A$5:$A$104,$I24))</f>
        <v>SEC-1036</v>
      </c>
      <c r="C24" s="30" t="str">
        <f ca="1">IF($A24="","",INDEX(Base_Altas_Recibidas!$C$5:$C$104,$I24))</f>
        <v>CallCenter_Alpha</v>
      </c>
      <c r="D24" s="30" t="str">
        <f ca="1">IF($A24="","",INDEX(Base_Altas_Recibidas!$D$5:$D$104,$I24))</f>
        <v>8.870.136-4</v>
      </c>
      <c r="E24" s="30" t="str">
        <f ca="1">IF($A24="","",INDEX(Base_Altas_Recibidas!$E$5:$E$104,$I24))</f>
        <v>Fernanda Morales Flores</v>
      </c>
      <c r="F24" s="30" t="str">
        <f ca="1">IF($A24="","",INDEX(Base_Altas_Recibidas!$K$5:$K$104,$I24))</f>
        <v>RECHAZADO_ELEGIBILIDAD</v>
      </c>
      <c r="G24" s="31" t="str">
        <f ca="1">IF($A24="","",IF($F24="RECHAZADO_DATOS_INCOMPLETOS","Campos obligatorios incompletos o fecha/prima inválida",IF($F24="RECHAZADO_ID_DUPLICADO","Identificador de solicitud duplicado: "&amp;$B24,IF($F24="RECHAZADO_PLAN_NO_CATALOGADO","El plan solicitado no existe en el catálogo PIMS: "&amp;INDEX(Base_Altas_Recibidas!$H$5:$H$104,$I24),IF($F24="RECHAZADO_ELEGIBILIDAD","Edad fuera del rango definido en catálogo (18-65 como supuesto del laboratorio): "&amp;INDEX(Base_Altas_Recibidas!$G$5:$G$104,$I24)&amp;" años",IF($F24="RECHAZADO_RUT_INVALIDO",IF(OR(NOT(ISNUMBER(FIND("-",TRIM($D24)))),LEN(INDEX(Base_Altas_Recibidas!$M$5:$M$104,$I24))&lt;8,LEN(INDEX(Base_Altas_Recibidas!$M$5:$M$104,$I24))&gt;9),"Formato de RUT incompleto o inválido","Dígito verificador Módulo 11 no coincide"),"Prima informada ($"&amp;INDEX(Base_Altas_Recibidas!$I$5:$I$104,$I24)&amp;") no coincide con tarifa oficial PIMS ($"&amp;INDEX(Base_Altas_Recibidas!$J$5:$J$104,$I24)&amp;")"))))))</f>
        <v>Edad fuera del rango definido en catálogo (18-65 como supuesto del laboratorio): 16 años</v>
      </c>
      <c r="H24" s="31" t="str">
        <f t="shared" ca="1" si="0"/>
        <v>No cargar; confirmar elegibilidad según condiciones autorizadas del producto.</v>
      </c>
      <c r="I24" s="32">
        <f ca="1">IF($A24="","",MATCH($A24,Base_Altas_Recibidas!$O$5:$O$104,0))</f>
        <v>36</v>
      </c>
    </row>
    <row r="25" spans="1:9" ht="30" customHeight="1" x14ac:dyDescent="0.25">
      <c r="A25" s="33">
        <f ca="1">IF(ROWS($A$10:$A25)&lt;=$B$5,ROWS($A$10:$A25),"")</f>
        <v>16</v>
      </c>
      <c r="B25" s="34" t="str">
        <f ca="1">IF($A25="","",INDEX(Base_Altas_Recibidas!$A$5:$A$104,$I25))</f>
        <v>SEC-1037</v>
      </c>
      <c r="C25" s="34" t="str">
        <f ca="1">IF($A25="","",INDEX(Base_Altas_Recibidas!$C$5:$C$104,$I25))</f>
        <v>CallCenter_Alpha</v>
      </c>
      <c r="D25" s="34" t="str">
        <f ca="1">IF($A25="","",INDEX(Base_Altas_Recibidas!$D$5:$D$104,$I25))</f>
        <v>12.367.851-6</v>
      </c>
      <c r="E25" s="34" t="str">
        <f ca="1">IF($A25="","",INDEX(Base_Altas_Recibidas!$E$5:$E$104,$I25))</f>
        <v>Felipe Sepúlveda Flores</v>
      </c>
      <c r="F25" s="34" t="str">
        <f ca="1">IF($A25="","",INDEX(Base_Altas_Recibidas!$K$5:$K$104,$I25))</f>
        <v>RECHAZADO_ELEGIBILIDAD</v>
      </c>
      <c r="G25" s="35" t="str">
        <f ca="1">IF($A25="","",IF($F25="RECHAZADO_DATOS_INCOMPLETOS","Campos obligatorios incompletos o fecha/prima inválida",IF($F25="RECHAZADO_ID_DUPLICADO","Identificador de solicitud duplicado: "&amp;$B25,IF($F25="RECHAZADO_PLAN_NO_CATALOGADO","El plan solicitado no existe en el catálogo PIMS: "&amp;INDEX(Base_Altas_Recibidas!$H$5:$H$104,$I25),IF($F25="RECHAZADO_ELEGIBILIDAD","Edad fuera del rango definido en catálogo (18-65 como supuesto del laboratorio): "&amp;INDEX(Base_Altas_Recibidas!$G$5:$G$104,$I25)&amp;" años",IF($F25="RECHAZADO_RUT_INVALIDO",IF(OR(NOT(ISNUMBER(FIND("-",TRIM($D25)))),LEN(INDEX(Base_Altas_Recibidas!$M$5:$M$104,$I25))&lt;8,LEN(INDEX(Base_Altas_Recibidas!$M$5:$M$104,$I25))&gt;9),"Formato de RUT incompleto o inválido","Dígito verificador Módulo 11 no coincide"),"Prima informada ($"&amp;INDEX(Base_Altas_Recibidas!$I$5:$I$104,$I25)&amp;") no coincide con tarifa oficial PIMS ($"&amp;INDEX(Base_Altas_Recibidas!$J$5:$J$104,$I25)&amp;")"))))))</f>
        <v>Edad fuera del rango definido en catálogo (18-65 como supuesto del laboratorio): 14 años</v>
      </c>
      <c r="H25" s="35" t="str">
        <f t="shared" ca="1" si="0"/>
        <v>No cargar; confirmar elegibilidad según condiciones autorizadas del producto.</v>
      </c>
      <c r="I25" s="36">
        <f ca="1">IF($A25="","",MATCH($A25,Base_Altas_Recibidas!$O$5:$O$104,0))</f>
        <v>37</v>
      </c>
    </row>
    <row r="26" spans="1:9" ht="30" customHeight="1" x14ac:dyDescent="0.25">
      <c r="A26" s="29">
        <f ca="1">IF(ROWS($A$10:$A26)&lt;=$B$5,ROWS($A$10:$A26),"")</f>
        <v>17</v>
      </c>
      <c r="B26" s="30" t="str">
        <f ca="1">IF($A26="","",INDEX(Base_Altas_Recibidas!$A$5:$A$104,$I26))</f>
        <v>SEC-1039</v>
      </c>
      <c r="C26" s="30" t="str">
        <f ca="1">IF($A26="","",INDEX(Base_Altas_Recibidas!$C$5:$C$104,$I26))</f>
        <v>CallCenter_Beta</v>
      </c>
      <c r="D26" s="30" t="str">
        <f ca="1">IF($A26="","",INDEX(Base_Altas_Recibidas!$D$5:$D$104,$I26))</f>
        <v>179339064</v>
      </c>
      <c r="E26" s="30" t="str">
        <f ca="1">IF($A26="","",INDEX(Base_Altas_Recibidas!$E$5:$E$104,$I26))</f>
        <v>Camila Soto Morales</v>
      </c>
      <c r="F26" s="30" t="str">
        <f ca="1">IF($A26="","",INDEX(Base_Altas_Recibidas!$K$5:$K$104,$I26))</f>
        <v>RECHAZADO_RUT_INVALIDO</v>
      </c>
      <c r="G26" s="31" t="str">
        <f ca="1">IF($A26="","",IF($F26="RECHAZADO_DATOS_INCOMPLETOS","Campos obligatorios incompletos o fecha/prima inválida",IF($F26="RECHAZADO_ID_DUPLICADO","Identificador de solicitud duplicado: "&amp;$B26,IF($F26="RECHAZADO_PLAN_NO_CATALOGADO","El plan solicitado no existe en el catálogo PIMS: "&amp;INDEX(Base_Altas_Recibidas!$H$5:$H$104,$I26),IF($F26="RECHAZADO_ELEGIBILIDAD","Edad fuera del rango definido en catálogo (18-65 como supuesto del laboratorio): "&amp;INDEX(Base_Altas_Recibidas!$G$5:$G$104,$I26)&amp;" años",IF($F26="RECHAZADO_RUT_INVALIDO",IF(OR(NOT(ISNUMBER(FIND("-",TRIM($D26)))),LEN(INDEX(Base_Altas_Recibidas!$M$5:$M$104,$I26))&lt;8,LEN(INDEX(Base_Altas_Recibidas!$M$5:$M$104,$I26))&gt;9),"Formato de RUT incompleto o inválido","Dígito verificador Módulo 11 no coincide"),"Prima informada ($"&amp;INDEX(Base_Altas_Recibidas!$I$5:$I$104,$I26)&amp;") no coincide con tarifa oficial PIMS ($"&amp;INDEX(Base_Altas_Recibidas!$J$5:$J$104,$I26)&amp;")"))))))</f>
        <v>Formato de RUT incompleto o inválido</v>
      </c>
      <c r="H26" s="31" t="str">
        <f t="shared" ca="1" si="0"/>
        <v>Contrastar con documento de identidad, corregir RUT y volver a validar.</v>
      </c>
      <c r="I26" s="32">
        <f ca="1">IF($A26="","",MATCH($A26,Base_Altas_Recibidas!$O$5:$O$104,0))</f>
        <v>39</v>
      </c>
    </row>
    <row r="27" spans="1:9" ht="30" customHeight="1" x14ac:dyDescent="0.25">
      <c r="A27" s="33">
        <f ca="1">IF(ROWS($A$10:$A27)&lt;=$B$5,ROWS($A$10:$A27),"")</f>
        <v>18</v>
      </c>
      <c r="B27" s="34" t="str">
        <f ca="1">IF($A27="","",INDEX(Base_Altas_Recibidas!$A$5:$A$104,$I27))</f>
        <v>SEC-1043</v>
      </c>
      <c r="C27" s="34" t="str">
        <f ca="1">IF($A27="","",INDEX(Base_Altas_Recibidas!$C$5:$C$104,$I27))</f>
        <v>CallCenter_Alpha</v>
      </c>
      <c r="D27" s="34" t="str">
        <f ca="1">IF($A27="","",INDEX(Base_Altas_Recibidas!$D$5:$D$104,$I27))</f>
        <v>9.944.289-1</v>
      </c>
      <c r="E27" s="34" t="str">
        <f ca="1">IF($A27="","",INDEX(Base_Altas_Recibidas!$E$5:$E$104,$I27))</f>
        <v>Tomás Díaz Flores</v>
      </c>
      <c r="F27" s="34" t="str">
        <f ca="1">IF($A27="","",INDEX(Base_Altas_Recibidas!$K$5:$K$104,$I27))</f>
        <v>RECHAZADO_ELEGIBILIDAD</v>
      </c>
      <c r="G27" s="35" t="str">
        <f ca="1">IF($A27="","",IF($F27="RECHAZADO_DATOS_INCOMPLETOS","Campos obligatorios incompletos o fecha/prima inválida",IF($F27="RECHAZADO_ID_DUPLICADO","Identificador de solicitud duplicado: "&amp;$B27,IF($F27="RECHAZADO_PLAN_NO_CATALOGADO","El plan solicitado no existe en el catálogo PIMS: "&amp;INDEX(Base_Altas_Recibidas!$H$5:$H$104,$I27),IF($F27="RECHAZADO_ELEGIBILIDAD","Edad fuera del rango definido en catálogo (18-65 como supuesto del laboratorio): "&amp;INDEX(Base_Altas_Recibidas!$G$5:$G$104,$I27)&amp;" años",IF($F27="RECHAZADO_RUT_INVALIDO",IF(OR(NOT(ISNUMBER(FIND("-",TRIM($D27)))),LEN(INDEX(Base_Altas_Recibidas!$M$5:$M$104,$I27))&lt;8,LEN(INDEX(Base_Altas_Recibidas!$M$5:$M$104,$I27))&gt;9),"Formato de RUT incompleto o inválido","Dígito verificador Módulo 11 no coincide"),"Prima informada ($"&amp;INDEX(Base_Altas_Recibidas!$I$5:$I$104,$I27)&amp;") no coincide con tarifa oficial PIMS ($"&amp;INDEX(Base_Altas_Recibidas!$J$5:$J$104,$I27)&amp;")"))))))</f>
        <v>Edad fuera del rango definido en catálogo (18-65 como supuesto del laboratorio): 71 años</v>
      </c>
      <c r="H27" s="35" t="str">
        <f t="shared" ca="1" si="0"/>
        <v>No cargar; confirmar elegibilidad según condiciones autorizadas del producto.</v>
      </c>
      <c r="I27" s="36">
        <f ca="1">IF($A27="","",MATCH($A27,Base_Altas_Recibidas!$O$5:$O$104,0))</f>
        <v>43</v>
      </c>
    </row>
    <row r="28" spans="1:9" ht="30" customHeight="1" x14ac:dyDescent="0.25">
      <c r="A28" s="29">
        <f ca="1">IF(ROWS($A$10:$A28)&lt;=$B$5,ROWS($A$10:$A28),"")</f>
        <v>19</v>
      </c>
      <c r="B28" s="30" t="str">
        <f ca="1">IF($A28="","",INDEX(Base_Altas_Recibidas!$A$5:$A$104,$I28))</f>
        <v>SEC-1044</v>
      </c>
      <c r="C28" s="30" t="str">
        <f ca="1">IF($A28="","",INDEX(Base_Altas_Recibidas!$C$5:$C$104,$I28))</f>
        <v>Socio_Retail_Gamma</v>
      </c>
      <c r="D28" s="30" t="str">
        <f ca="1">IF($A28="","",INDEX(Base_Altas_Recibidas!$D$5:$D$104,$I28))</f>
        <v>21.298.600-3</v>
      </c>
      <c r="E28" s="30" t="str">
        <f ca="1">IF($A28="","",INDEX(Base_Altas_Recibidas!$E$5:$E$104,$I28))</f>
        <v>Cristóbal Rojas Rojas</v>
      </c>
      <c r="F28" s="30" t="str">
        <f ca="1">IF($A28="","",INDEX(Base_Altas_Recibidas!$K$5:$K$104,$I28))</f>
        <v>RECHAZADO_ELEGIBILIDAD</v>
      </c>
      <c r="G28" s="31" t="str">
        <f ca="1">IF($A28="","",IF($F28="RECHAZADO_DATOS_INCOMPLETOS","Campos obligatorios incompletos o fecha/prima inválida",IF($F28="RECHAZADO_ID_DUPLICADO","Identificador de solicitud duplicado: "&amp;$B28,IF($F28="RECHAZADO_PLAN_NO_CATALOGADO","El plan solicitado no existe en el catálogo PIMS: "&amp;INDEX(Base_Altas_Recibidas!$H$5:$H$104,$I28),IF($F28="RECHAZADO_ELEGIBILIDAD","Edad fuera del rango definido en catálogo (18-65 como supuesto del laboratorio): "&amp;INDEX(Base_Altas_Recibidas!$G$5:$G$104,$I28)&amp;" años",IF($F28="RECHAZADO_RUT_INVALIDO",IF(OR(NOT(ISNUMBER(FIND("-",TRIM($D28)))),LEN(INDEX(Base_Altas_Recibidas!$M$5:$M$104,$I28))&lt;8,LEN(INDEX(Base_Altas_Recibidas!$M$5:$M$104,$I28))&gt;9),"Formato de RUT incompleto o inválido","Dígito verificador Módulo 11 no coincide"),"Prima informada ($"&amp;INDEX(Base_Altas_Recibidas!$I$5:$I$104,$I28)&amp;") no coincide con tarifa oficial PIMS ($"&amp;INDEX(Base_Altas_Recibidas!$J$5:$J$104,$I28)&amp;")"))))))</f>
        <v>Edad fuera del rango definido en catálogo (18-65 como supuesto del laboratorio): 70 años</v>
      </c>
      <c r="H28" s="31" t="str">
        <f t="shared" ca="1" si="0"/>
        <v>No cargar; confirmar elegibilidad según condiciones autorizadas del producto.</v>
      </c>
      <c r="I28" s="32">
        <f ca="1">IF($A28="","",MATCH($A28,Base_Altas_Recibidas!$O$5:$O$104,0))</f>
        <v>44</v>
      </c>
    </row>
    <row r="29" spans="1:9" ht="30" customHeight="1" x14ac:dyDescent="0.25">
      <c r="A29" s="33">
        <f ca="1">IF(ROWS($A$10:$A29)&lt;=$B$5,ROWS($A$10:$A29),"")</f>
        <v>20</v>
      </c>
      <c r="B29" s="34" t="str">
        <f ca="1">IF($A29="","",INDEX(Base_Altas_Recibidas!$A$5:$A$104,$I29))</f>
        <v>SEC-1048</v>
      </c>
      <c r="C29" s="34" t="str">
        <f ca="1">IF($A29="","",INDEX(Base_Altas_Recibidas!$C$5:$C$104,$I29))</f>
        <v>CallCenter_Beta</v>
      </c>
      <c r="D29" s="34" t="str">
        <f ca="1">IF($A29="","",INDEX(Base_Altas_Recibidas!$D$5:$D$104,$I29))</f>
        <v>11.180.084-7</v>
      </c>
      <c r="E29" s="34" t="str">
        <f ca="1">IF($A29="","",INDEX(Base_Altas_Recibidas!$E$5:$E$104,$I29))</f>
        <v>Carolina Tapia Pérez</v>
      </c>
      <c r="F29" s="34" t="str">
        <f ca="1">IF($A29="","",INDEX(Base_Altas_Recibidas!$K$5:$K$104,$I29))</f>
        <v>RECHAZADO_ELEGIBILIDAD</v>
      </c>
      <c r="G29" s="35" t="str">
        <f ca="1">IF($A29="","",IF($F29="RECHAZADO_DATOS_INCOMPLETOS","Campos obligatorios incompletos o fecha/prima inválida",IF($F29="RECHAZADO_ID_DUPLICADO","Identificador de solicitud duplicado: "&amp;$B29,IF($F29="RECHAZADO_PLAN_NO_CATALOGADO","El plan solicitado no existe en el catálogo PIMS: "&amp;INDEX(Base_Altas_Recibidas!$H$5:$H$104,$I29),IF($F29="RECHAZADO_ELEGIBILIDAD","Edad fuera del rango definido en catálogo (18-65 como supuesto del laboratorio): "&amp;INDEX(Base_Altas_Recibidas!$G$5:$G$104,$I29)&amp;" años",IF($F29="RECHAZADO_RUT_INVALIDO",IF(OR(NOT(ISNUMBER(FIND("-",TRIM($D29)))),LEN(INDEX(Base_Altas_Recibidas!$M$5:$M$104,$I29))&lt;8,LEN(INDEX(Base_Altas_Recibidas!$M$5:$M$104,$I29))&gt;9),"Formato de RUT incompleto o inválido","Dígito verificador Módulo 11 no coincide"),"Prima informada ($"&amp;INDEX(Base_Altas_Recibidas!$I$5:$I$104,$I29)&amp;") no coincide con tarifa oficial PIMS ($"&amp;INDEX(Base_Altas_Recibidas!$J$5:$J$104,$I29)&amp;")"))))))</f>
        <v>Edad fuera del rango definido en catálogo (18-65 como supuesto del laboratorio): 73 años</v>
      </c>
      <c r="H29" s="35" t="str">
        <f t="shared" ca="1" si="0"/>
        <v>No cargar; confirmar elegibilidad según condiciones autorizadas del producto.</v>
      </c>
      <c r="I29" s="36">
        <f ca="1">IF($A29="","",MATCH($A29,Base_Altas_Recibidas!$O$5:$O$104,0))</f>
        <v>48</v>
      </c>
    </row>
    <row r="30" spans="1:9" ht="30" customHeight="1" x14ac:dyDescent="0.25">
      <c r="A30" s="29">
        <f ca="1">IF(ROWS($A$10:$A30)&lt;=$B$5,ROWS($A$10:$A30),"")</f>
        <v>21</v>
      </c>
      <c r="B30" s="30" t="str">
        <f ca="1">IF($A30="","",INDEX(Base_Altas_Recibidas!$A$5:$A$104,$I30))</f>
        <v>SEC-1049</v>
      </c>
      <c r="C30" s="30" t="str">
        <f ca="1">IF($A30="","",INDEX(Base_Altas_Recibidas!$C$5:$C$104,$I30))</f>
        <v>CallCenter_Alpha</v>
      </c>
      <c r="D30" s="30" t="str">
        <f ca="1">IF($A30="","",INDEX(Base_Altas_Recibidas!$D$5:$D$104,$I30))</f>
        <v>9.954.258-6</v>
      </c>
      <c r="E30" s="30" t="str">
        <f ca="1">IF($A30="","",INDEX(Base_Altas_Recibidas!$E$5:$E$104,$I30))</f>
        <v>Catalina Martínez Pérez</v>
      </c>
      <c r="F30" s="30" t="str">
        <f ca="1">IF($A30="","",INDEX(Base_Altas_Recibidas!$K$5:$K$104,$I30))</f>
        <v>RECHAZADO_DESCALCE_PRIMA</v>
      </c>
      <c r="G30" s="31" t="str">
        <f ca="1">IF($A30="","",IF($F30="RECHAZADO_DATOS_INCOMPLETOS","Campos obligatorios incompletos o fecha/prima inválida",IF($F30="RECHAZADO_ID_DUPLICADO","Identificador de solicitud duplicado: "&amp;$B30,IF($F30="RECHAZADO_PLAN_NO_CATALOGADO","El plan solicitado no existe en el catálogo PIMS: "&amp;INDEX(Base_Altas_Recibidas!$H$5:$H$104,$I30),IF($F30="RECHAZADO_ELEGIBILIDAD","Edad fuera del rango definido en catálogo (18-65 como supuesto del laboratorio): "&amp;INDEX(Base_Altas_Recibidas!$G$5:$G$104,$I30)&amp;" años",IF($F30="RECHAZADO_RUT_INVALIDO",IF(OR(NOT(ISNUMBER(FIND("-",TRIM($D30)))),LEN(INDEX(Base_Altas_Recibidas!$M$5:$M$104,$I30))&lt;8,LEN(INDEX(Base_Altas_Recibidas!$M$5:$M$104,$I30))&gt;9),"Formato de RUT incompleto o inválido","Dígito verificador Módulo 11 no coincide"),"Prima informada ($"&amp;INDEX(Base_Altas_Recibidas!$I$5:$I$104,$I30)&amp;") no coincide con tarifa oficial PIMS ($"&amp;INDEX(Base_Altas_Recibidas!$J$5:$J$104,$I30)&amp;")"))))))</f>
        <v>Prima informada ($17990) no coincide con tarifa oficial PIMS ($18990)</v>
      </c>
      <c r="H30" s="31" t="str">
        <f t="shared" ca="1" si="0"/>
        <v>Corregir prima contra el catálogo oficial; si hubo cobro distinto, escalar para regularización.</v>
      </c>
      <c r="I30" s="32">
        <f ca="1">IF($A30="","",MATCH($A30,Base_Altas_Recibidas!$O$5:$O$104,0))</f>
        <v>49</v>
      </c>
    </row>
    <row r="31" spans="1:9" ht="30" customHeight="1" x14ac:dyDescent="0.25">
      <c r="A31" s="33">
        <f ca="1">IF(ROWS($A$10:$A31)&lt;=$B$5,ROWS($A$10:$A31),"")</f>
        <v>22</v>
      </c>
      <c r="B31" s="34" t="str">
        <f ca="1">IF($A31="","",INDEX(Base_Altas_Recibidas!$A$5:$A$104,$I31))</f>
        <v>SEC-1050</v>
      </c>
      <c r="C31" s="34" t="str">
        <f ca="1">IF($A31="","",INDEX(Base_Altas_Recibidas!$C$5:$C$104,$I31))</f>
        <v>CallCenter_Beta</v>
      </c>
      <c r="D31" s="34" t="str">
        <f ca="1">IF($A31="","",INDEX(Base_Altas_Recibidas!$D$5:$D$104,$I31))</f>
        <v>17.132.408-4</v>
      </c>
      <c r="E31" s="34" t="str">
        <f ca="1">IF($A31="","",INDEX(Base_Altas_Recibidas!$E$5:$E$104,$I31))</f>
        <v>Sebastián Martínez Sepúlveda</v>
      </c>
      <c r="F31" s="34" t="str">
        <f ca="1">IF($A31="","",INDEX(Base_Altas_Recibidas!$K$5:$K$104,$I31))</f>
        <v>RECHAZADO_DESCALCE_PRIMA</v>
      </c>
      <c r="G31" s="35" t="str">
        <f ca="1">IF($A31="","",IF($F31="RECHAZADO_DATOS_INCOMPLETOS","Campos obligatorios incompletos o fecha/prima inválida",IF($F31="RECHAZADO_ID_DUPLICADO","Identificador de solicitud duplicado: "&amp;$B31,IF($F31="RECHAZADO_PLAN_NO_CATALOGADO","El plan solicitado no existe en el catálogo PIMS: "&amp;INDEX(Base_Altas_Recibidas!$H$5:$H$104,$I31),IF($F31="RECHAZADO_ELEGIBILIDAD","Edad fuera del rango definido en catálogo (18-65 como supuesto del laboratorio): "&amp;INDEX(Base_Altas_Recibidas!$G$5:$G$104,$I31)&amp;" años",IF($F31="RECHAZADO_RUT_INVALIDO",IF(OR(NOT(ISNUMBER(FIND("-",TRIM($D31)))),LEN(INDEX(Base_Altas_Recibidas!$M$5:$M$104,$I31))&lt;8,LEN(INDEX(Base_Altas_Recibidas!$M$5:$M$104,$I31))&gt;9),"Formato de RUT incompleto o inválido","Dígito verificador Módulo 11 no coincide"),"Prima informada ($"&amp;INDEX(Base_Altas_Recibidas!$I$5:$I$104,$I31)&amp;") no coincide con tarifa oficial PIMS ($"&amp;INDEX(Base_Altas_Recibidas!$J$5:$J$104,$I31)&amp;")"))))))</f>
        <v>Prima informada ($5990) no coincide con tarifa oficial PIMS ($7990)</v>
      </c>
      <c r="H31" s="35" t="str">
        <f t="shared" ca="1" si="0"/>
        <v>Corregir prima contra el catálogo oficial; si hubo cobro distinto, escalar para regularización.</v>
      </c>
      <c r="I31" s="36">
        <f ca="1">IF($A31="","",MATCH($A31,Base_Altas_Recibidas!$O$5:$O$104,0))</f>
        <v>50</v>
      </c>
    </row>
    <row r="32" spans="1:9" ht="30" customHeight="1" x14ac:dyDescent="0.25">
      <c r="A32" s="29">
        <f ca="1">IF(ROWS($A$10:$A32)&lt;=$B$5,ROWS($A$10:$A32),"")</f>
        <v>23</v>
      </c>
      <c r="B32" s="30" t="str">
        <f ca="1">IF($A32="","",INDEX(Base_Altas_Recibidas!$A$5:$A$104,$I32))</f>
        <v>SEC-1053</v>
      </c>
      <c r="C32" s="30" t="str">
        <f ca="1">IF($A32="","",INDEX(Base_Altas_Recibidas!$C$5:$C$104,$I32))</f>
        <v>CallCenter_Alpha</v>
      </c>
      <c r="D32" s="30" t="str">
        <f ca="1">IF($A32="","",INDEX(Base_Altas_Recibidas!$D$5:$D$104,$I32))</f>
        <v>11.803.892-7</v>
      </c>
      <c r="E32" s="30" t="str">
        <f ca="1">IF($A32="","",INDEX(Base_Altas_Recibidas!$E$5:$E$104,$I32))</f>
        <v>Javiera Pérez Morales</v>
      </c>
      <c r="F32" s="30" t="str">
        <f ca="1">IF($A32="","",INDEX(Base_Altas_Recibidas!$K$5:$K$104,$I32))</f>
        <v>RECHAZADO_RUT_INVALIDO</v>
      </c>
      <c r="G32" s="31" t="str">
        <f ca="1">IF($A32="","",IF($F32="RECHAZADO_DATOS_INCOMPLETOS","Campos obligatorios incompletos o fecha/prima inválida",IF($F32="RECHAZADO_ID_DUPLICADO","Identificador de solicitud duplicado: "&amp;$B32,IF($F32="RECHAZADO_PLAN_NO_CATALOGADO","El plan solicitado no existe en el catálogo PIMS: "&amp;INDEX(Base_Altas_Recibidas!$H$5:$H$104,$I32),IF($F32="RECHAZADO_ELEGIBILIDAD","Edad fuera del rango definido en catálogo (18-65 como supuesto del laboratorio): "&amp;INDEX(Base_Altas_Recibidas!$G$5:$G$104,$I32)&amp;" años",IF($F32="RECHAZADO_RUT_INVALIDO",IF(OR(NOT(ISNUMBER(FIND("-",TRIM($D32)))),LEN(INDEX(Base_Altas_Recibidas!$M$5:$M$104,$I32))&lt;8,LEN(INDEX(Base_Altas_Recibidas!$M$5:$M$104,$I32))&gt;9),"Formato de RUT incompleto o inválido","Dígito verificador Módulo 11 no coincide"),"Prima informada ($"&amp;INDEX(Base_Altas_Recibidas!$I$5:$I$104,$I32)&amp;") no coincide con tarifa oficial PIMS ($"&amp;INDEX(Base_Altas_Recibidas!$J$5:$J$104,$I32)&amp;")"))))))</f>
        <v>Dígito verificador Módulo 11 no coincide</v>
      </c>
      <c r="H32" s="31" t="str">
        <f t="shared" ca="1" si="0"/>
        <v>Contrastar con documento de identidad, corregir RUT y volver a validar.</v>
      </c>
      <c r="I32" s="32">
        <f ca="1">IF($A32="","",MATCH($A32,Base_Altas_Recibidas!$O$5:$O$104,0))</f>
        <v>53</v>
      </c>
    </row>
    <row r="33" spans="1:9" ht="30" customHeight="1" x14ac:dyDescent="0.25">
      <c r="A33" s="33">
        <f ca="1">IF(ROWS($A$10:$A33)&lt;=$B$5,ROWS($A$10:$A33),"")</f>
        <v>24</v>
      </c>
      <c r="B33" s="34" t="str">
        <f ca="1">IF($A33="","",INDEX(Base_Altas_Recibidas!$A$5:$A$104,$I33))</f>
        <v>SEC-1055</v>
      </c>
      <c r="C33" s="34" t="str">
        <f ca="1">IF($A33="","",INDEX(Base_Altas_Recibidas!$C$5:$C$104,$I33))</f>
        <v>Socio_Retail_Gamma</v>
      </c>
      <c r="D33" s="34" t="str">
        <f ca="1">IF($A33="","",INDEX(Base_Altas_Recibidas!$D$5:$D$104,$I33))</f>
        <v>6.596.868-1</v>
      </c>
      <c r="E33" s="34" t="str">
        <f ca="1">IF($A33="","",INDEX(Base_Altas_Recibidas!$E$5:$E$104,$I33))</f>
        <v>Catalina Araya Martínez</v>
      </c>
      <c r="F33" s="34" t="str">
        <f ca="1">IF($A33="","",INDEX(Base_Altas_Recibidas!$K$5:$K$104,$I33))</f>
        <v>RECHAZADO_ELEGIBILIDAD</v>
      </c>
      <c r="G33" s="35" t="str">
        <f ca="1">IF($A33="","",IF($F33="RECHAZADO_DATOS_INCOMPLETOS","Campos obligatorios incompletos o fecha/prima inválida",IF($F33="RECHAZADO_ID_DUPLICADO","Identificador de solicitud duplicado: "&amp;$B33,IF($F33="RECHAZADO_PLAN_NO_CATALOGADO","El plan solicitado no existe en el catálogo PIMS: "&amp;INDEX(Base_Altas_Recibidas!$H$5:$H$104,$I33),IF($F33="RECHAZADO_ELEGIBILIDAD","Edad fuera del rango definido en catálogo (18-65 como supuesto del laboratorio): "&amp;INDEX(Base_Altas_Recibidas!$G$5:$G$104,$I33)&amp;" años",IF($F33="RECHAZADO_RUT_INVALIDO",IF(OR(NOT(ISNUMBER(FIND("-",TRIM($D33)))),LEN(INDEX(Base_Altas_Recibidas!$M$5:$M$104,$I33))&lt;8,LEN(INDEX(Base_Altas_Recibidas!$M$5:$M$104,$I33))&gt;9),"Formato de RUT incompleto o inválido","Dígito verificador Módulo 11 no coincide"),"Prima informada ($"&amp;INDEX(Base_Altas_Recibidas!$I$5:$I$104,$I33)&amp;") no coincide con tarifa oficial PIMS ($"&amp;INDEX(Base_Altas_Recibidas!$J$5:$J$104,$I33)&amp;")"))))))</f>
        <v>Edad fuera del rango definido en catálogo (18-65 como supuesto del laboratorio): 14 años</v>
      </c>
      <c r="H33" s="35" t="str">
        <f t="shared" ca="1" si="0"/>
        <v>No cargar; confirmar elegibilidad según condiciones autorizadas del producto.</v>
      </c>
      <c r="I33" s="36">
        <f ca="1">IF($A33="","",MATCH($A33,Base_Altas_Recibidas!$O$5:$O$104,0))</f>
        <v>55</v>
      </c>
    </row>
    <row r="34" spans="1:9" ht="30" customHeight="1" x14ac:dyDescent="0.25">
      <c r="A34" s="29">
        <f ca="1">IF(ROWS($A$10:$A34)&lt;=$B$5,ROWS($A$10:$A34),"")</f>
        <v>25</v>
      </c>
      <c r="B34" s="30" t="str">
        <f ca="1">IF($A34="","",INDEX(Base_Altas_Recibidas!$A$5:$A$104,$I34))</f>
        <v>SEC-1058</v>
      </c>
      <c r="C34" s="30" t="str">
        <f ca="1">IF($A34="","",INDEX(Base_Altas_Recibidas!$C$5:$C$104,$I34))</f>
        <v>CallCenter_Alpha</v>
      </c>
      <c r="D34" s="30" t="str">
        <f ca="1">IF($A34="","",INDEX(Base_Altas_Recibidas!$D$5:$D$104,$I34))</f>
        <v>10.471.214-2</v>
      </c>
      <c r="E34" s="30" t="str">
        <f ca="1">IF($A34="","",INDEX(Base_Altas_Recibidas!$E$5:$E$104,$I34))</f>
        <v>Javiera Fuentes Muñoz</v>
      </c>
      <c r="F34" s="30" t="str">
        <f ca="1">IF($A34="","",INDEX(Base_Altas_Recibidas!$K$5:$K$104,$I34))</f>
        <v>RECHAZADO_ELEGIBILIDAD</v>
      </c>
      <c r="G34" s="31" t="str">
        <f ca="1">IF($A34="","",IF($F34="RECHAZADO_DATOS_INCOMPLETOS","Campos obligatorios incompletos o fecha/prima inválida",IF($F34="RECHAZADO_ID_DUPLICADO","Identificador de solicitud duplicado: "&amp;$B34,IF($F34="RECHAZADO_PLAN_NO_CATALOGADO","El plan solicitado no existe en el catálogo PIMS: "&amp;INDEX(Base_Altas_Recibidas!$H$5:$H$104,$I34),IF($F34="RECHAZADO_ELEGIBILIDAD","Edad fuera del rango definido en catálogo (18-65 como supuesto del laboratorio): "&amp;INDEX(Base_Altas_Recibidas!$G$5:$G$104,$I34)&amp;" años",IF($F34="RECHAZADO_RUT_INVALIDO",IF(OR(NOT(ISNUMBER(FIND("-",TRIM($D34)))),LEN(INDEX(Base_Altas_Recibidas!$M$5:$M$104,$I34))&lt;8,LEN(INDEX(Base_Altas_Recibidas!$M$5:$M$104,$I34))&gt;9),"Formato de RUT incompleto o inválido","Dígito verificador Módulo 11 no coincide"),"Prima informada ($"&amp;INDEX(Base_Altas_Recibidas!$I$5:$I$104,$I34)&amp;") no coincide con tarifa oficial PIMS ($"&amp;INDEX(Base_Altas_Recibidas!$J$5:$J$104,$I34)&amp;")"))))))</f>
        <v>Edad fuera del rango definido en catálogo (18-65 como supuesto del laboratorio): 15 años</v>
      </c>
      <c r="H34" s="31" t="str">
        <f t="shared" ca="1" si="0"/>
        <v>No cargar; confirmar elegibilidad según condiciones autorizadas del producto.</v>
      </c>
      <c r="I34" s="32">
        <f ca="1">IF($A34="","",MATCH($A34,Base_Altas_Recibidas!$O$5:$O$104,0))</f>
        <v>58</v>
      </c>
    </row>
    <row r="35" spans="1:9" ht="30" customHeight="1" x14ac:dyDescent="0.25">
      <c r="A35" s="33">
        <f ca="1">IF(ROWS($A$10:$A35)&lt;=$B$5,ROWS($A$10:$A35),"")</f>
        <v>26</v>
      </c>
      <c r="B35" s="34" t="str">
        <f ca="1">IF($A35="","",INDEX(Base_Altas_Recibidas!$A$5:$A$104,$I35))</f>
        <v>SEC-1061</v>
      </c>
      <c r="C35" s="34" t="str">
        <f ca="1">IF($A35="","",INDEX(Base_Altas_Recibidas!$C$5:$C$104,$I35))</f>
        <v>CallCenter_Alpha</v>
      </c>
      <c r="D35" s="34" t="str">
        <f ca="1">IF($A35="","",INDEX(Base_Altas_Recibidas!$D$5:$D$104,$I35))</f>
        <v>10.470.601-0</v>
      </c>
      <c r="E35" s="34" t="str">
        <f ca="1">IF($A35="","",INDEX(Base_Altas_Recibidas!$E$5:$E$104,$I35))</f>
        <v>Cristóbal Martínez Hernández</v>
      </c>
      <c r="F35" s="34" t="str">
        <f ca="1">IF($A35="","",INDEX(Base_Altas_Recibidas!$K$5:$K$104,$I35))</f>
        <v>RECHAZADO_ELEGIBILIDAD</v>
      </c>
      <c r="G35" s="35" t="str">
        <f ca="1">IF($A35="","",IF($F35="RECHAZADO_DATOS_INCOMPLETOS","Campos obligatorios incompletos o fecha/prima inválida",IF($F35="RECHAZADO_ID_DUPLICADO","Identificador de solicitud duplicado: "&amp;$B35,IF($F35="RECHAZADO_PLAN_NO_CATALOGADO","El plan solicitado no existe en el catálogo PIMS: "&amp;INDEX(Base_Altas_Recibidas!$H$5:$H$104,$I35),IF($F35="RECHAZADO_ELEGIBILIDAD","Edad fuera del rango definido en catálogo (18-65 como supuesto del laboratorio): "&amp;INDEX(Base_Altas_Recibidas!$G$5:$G$104,$I35)&amp;" años",IF($F35="RECHAZADO_RUT_INVALIDO",IF(OR(NOT(ISNUMBER(FIND("-",TRIM($D35)))),LEN(INDEX(Base_Altas_Recibidas!$M$5:$M$104,$I35))&lt;8,LEN(INDEX(Base_Altas_Recibidas!$M$5:$M$104,$I35))&gt;9),"Formato de RUT incompleto o inválido","Dígito verificador Módulo 11 no coincide"),"Prima informada ($"&amp;INDEX(Base_Altas_Recibidas!$I$5:$I$104,$I35)&amp;") no coincide con tarifa oficial PIMS ($"&amp;INDEX(Base_Altas_Recibidas!$J$5:$J$104,$I35)&amp;")"))))))</f>
        <v>Edad fuera del rango definido en catálogo (18-65 como supuesto del laboratorio): 12 años</v>
      </c>
      <c r="H35" s="35" t="str">
        <f t="shared" ca="1" si="0"/>
        <v>No cargar; confirmar elegibilidad según condiciones autorizadas del producto.</v>
      </c>
      <c r="I35" s="36">
        <f ca="1">IF($A35="","",MATCH($A35,Base_Altas_Recibidas!$O$5:$O$104,0))</f>
        <v>61</v>
      </c>
    </row>
    <row r="36" spans="1:9" ht="30" customHeight="1" x14ac:dyDescent="0.25">
      <c r="A36" s="29">
        <f ca="1">IF(ROWS($A$10:$A36)&lt;=$B$5,ROWS($A$10:$A36),"")</f>
        <v>27</v>
      </c>
      <c r="B36" s="30" t="str">
        <f ca="1">IF($A36="","",INDEX(Base_Altas_Recibidas!$A$5:$A$104,$I36))</f>
        <v>SEC-1069</v>
      </c>
      <c r="C36" s="30" t="str">
        <f ca="1">IF($A36="","",INDEX(Base_Altas_Recibidas!$C$5:$C$104,$I36))</f>
        <v>CallCenter_Alpha</v>
      </c>
      <c r="D36" s="30" t="str">
        <f ca="1">IF($A36="","",INDEX(Base_Altas_Recibidas!$D$5:$D$104,$I36))</f>
        <v>11100031K</v>
      </c>
      <c r="E36" s="30" t="str">
        <f ca="1">IF($A36="","",INDEX(Base_Altas_Recibidas!$E$5:$E$104,$I36))</f>
        <v>Pablo Espinoza Muñoz</v>
      </c>
      <c r="F36" s="30" t="str">
        <f ca="1">IF($A36="","",INDEX(Base_Altas_Recibidas!$K$5:$K$104,$I36))</f>
        <v>RECHAZADO_RUT_INVALIDO</v>
      </c>
      <c r="G36" s="31" t="str">
        <f ca="1">IF($A36="","",IF($F36="RECHAZADO_DATOS_INCOMPLETOS","Campos obligatorios incompletos o fecha/prima inválida",IF($F36="RECHAZADO_ID_DUPLICADO","Identificador de solicitud duplicado: "&amp;$B36,IF($F36="RECHAZADO_PLAN_NO_CATALOGADO","El plan solicitado no existe en el catálogo PIMS: "&amp;INDEX(Base_Altas_Recibidas!$H$5:$H$104,$I36),IF($F36="RECHAZADO_ELEGIBILIDAD","Edad fuera del rango definido en catálogo (18-65 como supuesto del laboratorio): "&amp;INDEX(Base_Altas_Recibidas!$G$5:$G$104,$I36)&amp;" años",IF($F36="RECHAZADO_RUT_INVALIDO",IF(OR(NOT(ISNUMBER(FIND("-",TRIM($D36)))),LEN(INDEX(Base_Altas_Recibidas!$M$5:$M$104,$I36))&lt;8,LEN(INDEX(Base_Altas_Recibidas!$M$5:$M$104,$I36))&gt;9),"Formato de RUT incompleto o inválido","Dígito verificador Módulo 11 no coincide"),"Prima informada ($"&amp;INDEX(Base_Altas_Recibidas!$I$5:$I$104,$I36)&amp;") no coincide con tarifa oficial PIMS ($"&amp;INDEX(Base_Altas_Recibidas!$J$5:$J$104,$I36)&amp;")"))))))</f>
        <v>Formato de RUT incompleto o inválido</v>
      </c>
      <c r="H36" s="31" t="str">
        <f t="shared" ca="1" si="0"/>
        <v>Contrastar con documento de identidad, corregir RUT y volver a validar.</v>
      </c>
      <c r="I36" s="32">
        <f ca="1">IF($A36="","",MATCH($A36,Base_Altas_Recibidas!$O$5:$O$104,0))</f>
        <v>69</v>
      </c>
    </row>
    <row r="37" spans="1:9" ht="30" customHeight="1" x14ac:dyDescent="0.25">
      <c r="A37" s="33">
        <f ca="1">IF(ROWS($A$10:$A37)&lt;=$B$5,ROWS($A$10:$A37),"")</f>
        <v>28</v>
      </c>
      <c r="B37" s="34" t="str">
        <f ca="1">IF($A37="","",INDEX(Base_Altas_Recibidas!$A$5:$A$104,$I37))</f>
        <v>SEC-1074</v>
      </c>
      <c r="C37" s="34" t="str">
        <f ca="1">IF($A37="","",INDEX(Base_Altas_Recibidas!$C$5:$C$104,$I37))</f>
        <v>CallCenter_Alpha</v>
      </c>
      <c r="D37" s="34" t="str">
        <f ca="1">IF($A37="","",INDEX(Base_Altas_Recibidas!$D$5:$D$104,$I37))</f>
        <v>21.798.678-1</v>
      </c>
      <c r="E37" s="34" t="str">
        <f ca="1">IF($A37="","",INDEX(Base_Altas_Recibidas!$E$5:$E$104,$I37))</f>
        <v>Cristóbal Espinoza Martínez</v>
      </c>
      <c r="F37" s="34" t="str">
        <f ca="1">IF($A37="","",INDEX(Base_Altas_Recibidas!$K$5:$K$104,$I37))</f>
        <v>RECHAZADO_RUT_INVALIDO</v>
      </c>
      <c r="G37" s="35" t="str">
        <f ca="1">IF($A37="","",IF($F37="RECHAZADO_DATOS_INCOMPLETOS","Campos obligatorios incompletos o fecha/prima inválida",IF($F37="RECHAZADO_ID_DUPLICADO","Identificador de solicitud duplicado: "&amp;$B37,IF($F37="RECHAZADO_PLAN_NO_CATALOGADO","El plan solicitado no existe en el catálogo PIMS: "&amp;INDEX(Base_Altas_Recibidas!$H$5:$H$104,$I37),IF($F37="RECHAZADO_ELEGIBILIDAD","Edad fuera del rango definido en catálogo (18-65 como supuesto del laboratorio): "&amp;INDEX(Base_Altas_Recibidas!$G$5:$G$104,$I37)&amp;" años",IF($F37="RECHAZADO_RUT_INVALIDO",IF(OR(NOT(ISNUMBER(FIND("-",TRIM($D37)))),LEN(INDEX(Base_Altas_Recibidas!$M$5:$M$104,$I37))&lt;8,LEN(INDEX(Base_Altas_Recibidas!$M$5:$M$104,$I37))&gt;9),"Formato de RUT incompleto o inválido","Dígito verificador Módulo 11 no coincide"),"Prima informada ($"&amp;INDEX(Base_Altas_Recibidas!$I$5:$I$104,$I37)&amp;") no coincide con tarifa oficial PIMS ($"&amp;INDEX(Base_Altas_Recibidas!$J$5:$J$104,$I37)&amp;")"))))))</f>
        <v>Dígito verificador Módulo 11 no coincide</v>
      </c>
      <c r="H37" s="35" t="str">
        <f t="shared" ca="1" si="0"/>
        <v>Contrastar con documento de identidad, corregir RUT y volver a validar.</v>
      </c>
      <c r="I37" s="36">
        <f ca="1">IF($A37="","",MATCH($A37,Base_Altas_Recibidas!$O$5:$O$104,0))</f>
        <v>74</v>
      </c>
    </row>
    <row r="38" spans="1:9" ht="30" customHeight="1" x14ac:dyDescent="0.25">
      <c r="A38" s="29">
        <f ca="1">IF(ROWS($A$10:$A38)&lt;=$B$5,ROWS($A$10:$A38),"")</f>
        <v>29</v>
      </c>
      <c r="B38" s="30" t="str">
        <f ca="1">IF($A38="","",INDEX(Base_Altas_Recibidas!$A$5:$A$104,$I38))</f>
        <v>SEC-1075</v>
      </c>
      <c r="C38" s="30" t="str">
        <f ca="1">IF($A38="","",INDEX(Base_Altas_Recibidas!$C$5:$C$104,$I38))</f>
        <v>Socio_Retail_Gamma</v>
      </c>
      <c r="D38" s="30" t="str">
        <f ca="1">IF($A38="","",INDEX(Base_Altas_Recibidas!$D$5:$D$104,$I38))</f>
        <v>114965650</v>
      </c>
      <c r="E38" s="30" t="str">
        <f ca="1">IF($A38="","",INDEX(Base_Altas_Recibidas!$E$5:$E$104,$I38))</f>
        <v>Valentina Fuentes Tapia</v>
      </c>
      <c r="F38" s="30" t="str">
        <f ca="1">IF($A38="","",INDEX(Base_Altas_Recibidas!$K$5:$K$104,$I38))</f>
        <v>RECHAZADO_RUT_INVALIDO</v>
      </c>
      <c r="G38" s="31" t="str">
        <f ca="1">IF($A38="","",IF($F38="RECHAZADO_DATOS_INCOMPLETOS","Campos obligatorios incompletos o fecha/prima inválida",IF($F38="RECHAZADO_ID_DUPLICADO","Identificador de solicitud duplicado: "&amp;$B38,IF($F38="RECHAZADO_PLAN_NO_CATALOGADO","El plan solicitado no existe en el catálogo PIMS: "&amp;INDEX(Base_Altas_Recibidas!$H$5:$H$104,$I38),IF($F38="RECHAZADO_ELEGIBILIDAD","Edad fuera del rango definido en catálogo (18-65 como supuesto del laboratorio): "&amp;INDEX(Base_Altas_Recibidas!$G$5:$G$104,$I38)&amp;" años",IF($F38="RECHAZADO_RUT_INVALIDO",IF(OR(NOT(ISNUMBER(FIND("-",TRIM($D38)))),LEN(INDEX(Base_Altas_Recibidas!$M$5:$M$104,$I38))&lt;8,LEN(INDEX(Base_Altas_Recibidas!$M$5:$M$104,$I38))&gt;9),"Formato de RUT incompleto o inválido","Dígito verificador Módulo 11 no coincide"),"Prima informada ($"&amp;INDEX(Base_Altas_Recibidas!$I$5:$I$104,$I38)&amp;") no coincide con tarifa oficial PIMS ($"&amp;INDEX(Base_Altas_Recibidas!$J$5:$J$104,$I38)&amp;")"))))))</f>
        <v>Formato de RUT incompleto o inválido</v>
      </c>
      <c r="H38" s="31" t="str">
        <f t="shared" ca="1" si="0"/>
        <v>Contrastar con documento de identidad, corregir RUT y volver a validar.</v>
      </c>
      <c r="I38" s="32">
        <f ca="1">IF($A38="","",MATCH($A38,Base_Altas_Recibidas!$O$5:$O$104,0))</f>
        <v>75</v>
      </c>
    </row>
    <row r="39" spans="1:9" ht="30" customHeight="1" x14ac:dyDescent="0.25">
      <c r="A39" s="33">
        <f ca="1">IF(ROWS($A$10:$A39)&lt;=$B$5,ROWS($A$10:$A39),"")</f>
        <v>30</v>
      </c>
      <c r="B39" s="34" t="str">
        <f ca="1">IF($A39="","",INDEX(Base_Altas_Recibidas!$A$5:$A$104,$I39))</f>
        <v>SEC-1078</v>
      </c>
      <c r="C39" s="34" t="str">
        <f ca="1">IF($A39="","",INDEX(Base_Altas_Recibidas!$C$5:$C$104,$I39))</f>
        <v>CallCenter_Alpha</v>
      </c>
      <c r="D39" s="34" t="str">
        <f ca="1">IF($A39="","",INDEX(Base_Altas_Recibidas!$D$5:$D$104,$I39))</f>
        <v>22.166.750-6</v>
      </c>
      <c r="E39" s="34" t="str">
        <f ca="1">IF($A39="","",INDEX(Base_Altas_Recibidas!$E$5:$E$104,$I39))</f>
        <v>Constanza Contreras Díaz</v>
      </c>
      <c r="F39" s="34" t="str">
        <f ca="1">IF($A39="","",INDEX(Base_Altas_Recibidas!$K$5:$K$104,$I39))</f>
        <v>RECHAZADO_ELEGIBILIDAD</v>
      </c>
      <c r="G39" s="35" t="str">
        <f ca="1">IF($A39="","",IF($F39="RECHAZADO_DATOS_INCOMPLETOS","Campos obligatorios incompletos o fecha/prima inválida",IF($F39="RECHAZADO_ID_DUPLICADO","Identificador de solicitud duplicado: "&amp;$B39,IF($F39="RECHAZADO_PLAN_NO_CATALOGADO","El plan solicitado no existe en el catálogo PIMS: "&amp;INDEX(Base_Altas_Recibidas!$H$5:$H$104,$I39),IF($F39="RECHAZADO_ELEGIBILIDAD","Edad fuera del rango definido en catálogo (18-65 como supuesto del laboratorio): "&amp;INDEX(Base_Altas_Recibidas!$G$5:$G$104,$I39)&amp;" años",IF($F39="RECHAZADO_RUT_INVALIDO",IF(OR(NOT(ISNUMBER(FIND("-",TRIM($D39)))),LEN(INDEX(Base_Altas_Recibidas!$M$5:$M$104,$I39))&lt;8,LEN(INDEX(Base_Altas_Recibidas!$M$5:$M$104,$I39))&gt;9),"Formato de RUT incompleto o inválido","Dígito verificador Módulo 11 no coincide"),"Prima informada ($"&amp;INDEX(Base_Altas_Recibidas!$I$5:$I$104,$I39)&amp;") no coincide con tarifa oficial PIMS ($"&amp;INDEX(Base_Altas_Recibidas!$J$5:$J$104,$I39)&amp;")"))))))</f>
        <v>Edad fuera del rango definido en catálogo (18-65 como supuesto del laboratorio): 78 años</v>
      </c>
      <c r="H39" s="35" t="str">
        <f t="shared" ca="1" si="0"/>
        <v>No cargar; confirmar elegibilidad según condiciones autorizadas del producto.</v>
      </c>
      <c r="I39" s="36">
        <f ca="1">IF($A39="","",MATCH($A39,Base_Altas_Recibidas!$O$5:$O$104,0))</f>
        <v>78</v>
      </c>
    </row>
    <row r="40" spans="1:9" ht="30" customHeight="1" x14ac:dyDescent="0.25">
      <c r="A40" s="29">
        <f ca="1">IF(ROWS($A$10:$A40)&lt;=$B$5,ROWS($A$10:$A40),"")</f>
        <v>31</v>
      </c>
      <c r="B40" s="30" t="str">
        <f ca="1">IF($A40="","",INDEX(Base_Altas_Recibidas!$A$5:$A$104,$I40))</f>
        <v>SEC-1081</v>
      </c>
      <c r="C40" s="30" t="str">
        <f ca="1">IF($A40="","",INDEX(Base_Altas_Recibidas!$C$5:$C$104,$I40))</f>
        <v>Socio_Retail_Gamma</v>
      </c>
      <c r="D40" s="30" t="str">
        <f ca="1">IF($A40="","",INDEX(Base_Altas_Recibidas!$D$5:$D$104,$I40))</f>
        <v>15.163.246-7</v>
      </c>
      <c r="E40" s="30" t="str">
        <f ca="1">IF($A40="","",INDEX(Base_Altas_Recibidas!$E$5:$E$104,$I40))</f>
        <v>Tomás Pérez Díaz</v>
      </c>
      <c r="F40" s="30" t="str">
        <f ca="1">IF($A40="","",INDEX(Base_Altas_Recibidas!$K$5:$K$104,$I40))</f>
        <v>RECHAZADO_ELEGIBILIDAD</v>
      </c>
      <c r="G40" s="31" t="str">
        <f ca="1">IF($A40="","",IF($F40="RECHAZADO_DATOS_INCOMPLETOS","Campos obligatorios incompletos o fecha/prima inválida",IF($F40="RECHAZADO_ID_DUPLICADO","Identificador de solicitud duplicado: "&amp;$B40,IF($F40="RECHAZADO_PLAN_NO_CATALOGADO","El plan solicitado no existe en el catálogo PIMS: "&amp;INDEX(Base_Altas_Recibidas!$H$5:$H$104,$I40),IF($F40="RECHAZADO_ELEGIBILIDAD","Edad fuera del rango definido en catálogo (18-65 como supuesto del laboratorio): "&amp;INDEX(Base_Altas_Recibidas!$G$5:$G$104,$I40)&amp;" años",IF($F40="RECHAZADO_RUT_INVALIDO",IF(OR(NOT(ISNUMBER(FIND("-",TRIM($D40)))),LEN(INDEX(Base_Altas_Recibidas!$M$5:$M$104,$I40))&lt;8,LEN(INDEX(Base_Altas_Recibidas!$M$5:$M$104,$I40))&gt;9),"Formato de RUT incompleto o inválido","Dígito verificador Módulo 11 no coincide"),"Prima informada ($"&amp;INDEX(Base_Altas_Recibidas!$I$5:$I$104,$I40)&amp;") no coincide con tarifa oficial PIMS ($"&amp;INDEX(Base_Altas_Recibidas!$J$5:$J$104,$I40)&amp;")"))))))</f>
        <v>Edad fuera del rango definido en catálogo (18-65 como supuesto del laboratorio): 75 años</v>
      </c>
      <c r="H40" s="31" t="str">
        <f t="shared" ca="1" si="0"/>
        <v>No cargar; confirmar elegibilidad según condiciones autorizadas del producto.</v>
      </c>
      <c r="I40" s="32">
        <f ca="1">IF($A40="","",MATCH($A40,Base_Altas_Recibidas!$O$5:$O$104,0))</f>
        <v>81</v>
      </c>
    </row>
    <row r="41" spans="1:9" ht="30" customHeight="1" x14ac:dyDescent="0.25">
      <c r="A41" s="33">
        <f ca="1">IF(ROWS($A$10:$A41)&lt;=$B$5,ROWS($A$10:$A41),"")</f>
        <v>32</v>
      </c>
      <c r="B41" s="34" t="str">
        <f ca="1">IF($A41="","",INDEX(Base_Altas_Recibidas!$A$5:$A$104,$I41))</f>
        <v>SEC-1084</v>
      </c>
      <c r="C41" s="34" t="str">
        <f ca="1">IF($A41="","",INDEX(Base_Altas_Recibidas!$C$5:$C$104,$I41))</f>
        <v>Socio_Retail_Gamma</v>
      </c>
      <c r="D41" s="34" t="str">
        <f ca="1">IF($A41="","",INDEX(Base_Altas_Recibidas!$D$5:$D$104,$I41))</f>
        <v>23.794.292-2</v>
      </c>
      <c r="E41" s="34" t="str">
        <f ca="1">IF($A41="","",INDEX(Base_Altas_Recibidas!$E$5:$E$104,$I41))</f>
        <v>Felipe Muñoz Rojas</v>
      </c>
      <c r="F41" s="34" t="str">
        <f ca="1">IF($A41="","",INDEX(Base_Altas_Recibidas!$K$5:$K$104,$I41))</f>
        <v>RECHAZADO_DESCALCE_PRIMA</v>
      </c>
      <c r="G41" s="35" t="str">
        <f ca="1">IF($A41="","",IF($F41="RECHAZADO_DATOS_INCOMPLETOS","Campos obligatorios incompletos o fecha/prima inválida",IF($F41="RECHAZADO_ID_DUPLICADO","Identificador de solicitud duplicado: "&amp;$B41,IF($F41="RECHAZADO_PLAN_NO_CATALOGADO","El plan solicitado no existe en el catálogo PIMS: "&amp;INDEX(Base_Altas_Recibidas!$H$5:$H$104,$I41),IF($F41="RECHAZADO_ELEGIBILIDAD","Edad fuera del rango definido en catálogo (18-65 como supuesto del laboratorio): "&amp;INDEX(Base_Altas_Recibidas!$G$5:$G$104,$I41)&amp;" años",IF($F41="RECHAZADO_RUT_INVALIDO",IF(OR(NOT(ISNUMBER(FIND("-",TRIM($D41)))),LEN(INDEX(Base_Altas_Recibidas!$M$5:$M$104,$I41))&lt;8,LEN(INDEX(Base_Altas_Recibidas!$M$5:$M$104,$I41))&gt;9),"Formato de RUT incompleto o inválido","Dígito verificador Módulo 11 no coincide"),"Prima informada ($"&amp;INDEX(Base_Altas_Recibidas!$I$5:$I$104,$I41)&amp;") no coincide con tarifa oficial PIMS ($"&amp;INDEX(Base_Altas_Recibidas!$J$5:$J$104,$I41)&amp;")"))))))</f>
        <v>Prima informada ($15990) no coincide con tarifa oficial PIMS ($18990)</v>
      </c>
      <c r="H41" s="35" t="str">
        <f t="shared" ca="1" si="0"/>
        <v>Corregir prima contra el catálogo oficial; si hubo cobro distinto, escalar para regularización.</v>
      </c>
      <c r="I41" s="36">
        <f ca="1">IF($A41="","",MATCH($A41,Base_Altas_Recibidas!$O$5:$O$104,0))</f>
        <v>84</v>
      </c>
    </row>
    <row r="42" spans="1:9" ht="30" customHeight="1" x14ac:dyDescent="0.25">
      <c r="A42" s="29">
        <f ca="1">IF(ROWS($A$10:$A42)&lt;=$B$5,ROWS($A$10:$A42),"")</f>
        <v>33</v>
      </c>
      <c r="B42" s="30" t="str">
        <f ca="1">IF($A42="","",INDEX(Base_Altas_Recibidas!$A$5:$A$104,$I42))</f>
        <v>SEC-1088</v>
      </c>
      <c r="C42" s="30" t="str">
        <f ca="1">IF($A42="","",INDEX(Base_Altas_Recibidas!$C$5:$C$104,$I42))</f>
        <v>CallCenter_Alpha</v>
      </c>
      <c r="D42" s="30" t="str">
        <f ca="1">IF($A42="","",INDEX(Base_Altas_Recibidas!$D$5:$D$104,$I42))</f>
        <v>100156-2</v>
      </c>
      <c r="E42" s="30" t="str">
        <f ca="1">IF($A42="","",INDEX(Base_Altas_Recibidas!$E$5:$E$104,$I42))</f>
        <v>Tomás Silva Morales</v>
      </c>
      <c r="F42" s="30" t="str">
        <f ca="1">IF($A42="","",INDEX(Base_Altas_Recibidas!$K$5:$K$104,$I42))</f>
        <v>RECHAZADO_RUT_INVALIDO</v>
      </c>
      <c r="G42" s="31" t="str">
        <f ca="1">IF($A42="","",IF($F42="RECHAZADO_DATOS_INCOMPLETOS","Campos obligatorios incompletos o fecha/prima inválida",IF($F42="RECHAZADO_ID_DUPLICADO","Identificador de solicitud duplicado: "&amp;$B42,IF($F42="RECHAZADO_PLAN_NO_CATALOGADO","El plan solicitado no existe en el catálogo PIMS: "&amp;INDEX(Base_Altas_Recibidas!$H$5:$H$104,$I42),IF($F42="RECHAZADO_ELEGIBILIDAD","Edad fuera del rango definido en catálogo (18-65 como supuesto del laboratorio): "&amp;INDEX(Base_Altas_Recibidas!$G$5:$G$104,$I42)&amp;" años",IF($F42="RECHAZADO_RUT_INVALIDO",IF(OR(NOT(ISNUMBER(FIND("-",TRIM($D42)))),LEN(INDEX(Base_Altas_Recibidas!$M$5:$M$104,$I42))&lt;8,LEN(INDEX(Base_Altas_Recibidas!$M$5:$M$104,$I42))&gt;9),"Formato de RUT incompleto o inválido","Dígito verificador Módulo 11 no coincide"),"Prima informada ($"&amp;INDEX(Base_Altas_Recibidas!$I$5:$I$104,$I42)&amp;") no coincide con tarifa oficial PIMS ($"&amp;INDEX(Base_Altas_Recibidas!$J$5:$J$104,$I42)&amp;")"))))))</f>
        <v>Formato de RUT incompleto o inválido</v>
      </c>
      <c r="H42" s="31" t="str">
        <f t="shared" ref="H42:H73" ca="1" si="1">IF($A42="","",IF($F42="RECHAZADO_DATOS_INCOMPLETOS","Completar/corregir los campos de entrada y volver a validar.",IF($F42="RECHAZADO_ID_DUPLICADO","Verificar el ID y asignar un identificador único antes de reenviar.",IF($F42="RECHAZADO_PLAN_NO_CATALOGADO","Confirmar el código/nombre del producto con Suscripción antes de reenviar.",IF($F42="RECHAZADO_ELEGIBILIDAD","No cargar; confirmar elegibilidad según condiciones autorizadas del producto.",IF($F42="RECHAZADO_RUT_INVALIDO","Contrastar con documento de identidad, corregir RUT y volver a validar.","Corregir prima contra el catálogo oficial; si hubo cobro distinto, escalar para regularización."))))))</f>
        <v>Contrastar con documento de identidad, corregir RUT y volver a validar.</v>
      </c>
      <c r="I42" s="32">
        <f ca="1">IF($A42="","",MATCH($A42,Base_Altas_Recibidas!$O$5:$O$104,0))</f>
        <v>88</v>
      </c>
    </row>
    <row r="43" spans="1:9" ht="30" customHeight="1" x14ac:dyDescent="0.25">
      <c r="A43" s="33">
        <f ca="1">IF(ROWS($A$10:$A43)&lt;=$B$5,ROWS($A$10:$A43),"")</f>
        <v>34</v>
      </c>
      <c r="B43" s="34" t="str">
        <f ca="1">IF($A43="","",INDEX(Base_Altas_Recibidas!$A$5:$A$104,$I43))</f>
        <v>SEC-1089</v>
      </c>
      <c r="C43" s="34" t="str">
        <f ca="1">IF($A43="","",INDEX(Base_Altas_Recibidas!$C$5:$C$104,$I43))</f>
        <v>CallCenter_Beta</v>
      </c>
      <c r="D43" s="34" t="str">
        <f ca="1">IF($A43="","",INDEX(Base_Altas_Recibidas!$D$5:$D$104,$I43))</f>
        <v>19.423.066-4</v>
      </c>
      <c r="E43" s="34" t="str">
        <f ca="1">IF($A43="","",INDEX(Base_Altas_Recibidas!$E$5:$E$104,$I43))</f>
        <v>Daniela Fuentes Muñoz</v>
      </c>
      <c r="F43" s="34" t="str">
        <f ca="1">IF($A43="","",INDEX(Base_Altas_Recibidas!$K$5:$K$104,$I43))</f>
        <v>RECHAZADO_DESCALCE_PRIMA</v>
      </c>
      <c r="G43" s="35" t="str">
        <f ca="1">IF($A43="","",IF($F43="RECHAZADO_DATOS_INCOMPLETOS","Campos obligatorios incompletos o fecha/prima inválida",IF($F43="RECHAZADO_ID_DUPLICADO","Identificador de solicitud duplicado: "&amp;$B43,IF($F43="RECHAZADO_PLAN_NO_CATALOGADO","El plan solicitado no existe en el catálogo PIMS: "&amp;INDEX(Base_Altas_Recibidas!$H$5:$H$104,$I43),IF($F43="RECHAZADO_ELEGIBILIDAD","Edad fuera del rango definido en catálogo (18-65 como supuesto del laboratorio): "&amp;INDEX(Base_Altas_Recibidas!$G$5:$G$104,$I43)&amp;" años",IF($F43="RECHAZADO_RUT_INVALIDO",IF(OR(NOT(ISNUMBER(FIND("-",TRIM($D43)))),LEN(INDEX(Base_Altas_Recibidas!$M$5:$M$104,$I43))&lt;8,LEN(INDEX(Base_Altas_Recibidas!$M$5:$M$104,$I43))&gt;9),"Formato de RUT incompleto o inválido","Dígito verificador Módulo 11 no coincide"),"Prima informada ($"&amp;INDEX(Base_Altas_Recibidas!$I$5:$I$104,$I43)&amp;") no coincide con tarifa oficial PIMS ($"&amp;INDEX(Base_Altas_Recibidas!$J$5:$J$104,$I43)&amp;")"))))))</f>
        <v>Prima informada ($5990) no coincide con tarifa oficial PIMS ($7990)</v>
      </c>
      <c r="H43" s="35" t="str">
        <f t="shared" ca="1" si="1"/>
        <v>Corregir prima contra el catálogo oficial; si hubo cobro distinto, escalar para regularización.</v>
      </c>
      <c r="I43" s="36">
        <f ca="1">IF($A43="","",MATCH($A43,Base_Altas_Recibidas!$O$5:$O$104,0))</f>
        <v>89</v>
      </c>
    </row>
    <row r="44" spans="1:9" ht="30" customHeight="1" x14ac:dyDescent="0.25">
      <c r="A44" s="29">
        <f ca="1">IF(ROWS($A$10:$A44)&lt;=$B$5,ROWS($A$10:$A44),"")</f>
        <v>35</v>
      </c>
      <c r="B44" s="30" t="str">
        <f ca="1">IF($A44="","",INDEX(Base_Altas_Recibidas!$A$5:$A$104,$I44))</f>
        <v>SEC-1091</v>
      </c>
      <c r="C44" s="30" t="str">
        <f ca="1">IF($A44="","",INDEX(Base_Altas_Recibidas!$C$5:$C$104,$I44))</f>
        <v>CallCenter_Alpha</v>
      </c>
      <c r="D44" s="30" t="str">
        <f ca="1">IF($A44="","",INDEX(Base_Altas_Recibidas!$D$5:$D$104,$I44))</f>
        <v>23.780.964-5</v>
      </c>
      <c r="E44" s="30" t="str">
        <f ca="1">IF($A44="","",INDEX(Base_Altas_Recibidas!$E$5:$E$104,$I44))</f>
        <v>Constanza López Muñoz</v>
      </c>
      <c r="F44" s="30" t="str">
        <f ca="1">IF($A44="","",INDEX(Base_Altas_Recibidas!$K$5:$K$104,$I44))</f>
        <v>RECHAZADO_ELEGIBILIDAD</v>
      </c>
      <c r="G44" s="31" t="str">
        <f ca="1">IF($A44="","",IF($F44="RECHAZADO_DATOS_INCOMPLETOS","Campos obligatorios incompletos o fecha/prima inválida",IF($F44="RECHAZADO_ID_DUPLICADO","Identificador de solicitud duplicado: "&amp;$B44,IF($F44="RECHAZADO_PLAN_NO_CATALOGADO","El plan solicitado no existe en el catálogo PIMS: "&amp;INDEX(Base_Altas_Recibidas!$H$5:$H$104,$I44),IF($F44="RECHAZADO_ELEGIBILIDAD","Edad fuera del rango definido en catálogo (18-65 como supuesto del laboratorio): "&amp;INDEX(Base_Altas_Recibidas!$G$5:$G$104,$I44)&amp;" años",IF($F44="RECHAZADO_RUT_INVALIDO",IF(OR(NOT(ISNUMBER(FIND("-",TRIM($D44)))),LEN(INDEX(Base_Altas_Recibidas!$M$5:$M$104,$I44))&lt;8,LEN(INDEX(Base_Altas_Recibidas!$M$5:$M$104,$I44))&gt;9),"Formato de RUT incompleto o inválido","Dígito verificador Módulo 11 no coincide"),"Prima informada ($"&amp;INDEX(Base_Altas_Recibidas!$I$5:$I$104,$I44)&amp;") no coincide con tarifa oficial PIMS ($"&amp;INDEX(Base_Altas_Recibidas!$J$5:$J$104,$I44)&amp;")"))))))</f>
        <v>Edad fuera del rango definido en catálogo (18-65 como supuesto del laboratorio): 73 años</v>
      </c>
      <c r="H44" s="31" t="str">
        <f t="shared" ca="1" si="1"/>
        <v>No cargar; confirmar elegibilidad según condiciones autorizadas del producto.</v>
      </c>
      <c r="I44" s="32">
        <f ca="1">IF($A44="","",MATCH($A44,Base_Altas_Recibidas!$O$5:$O$104,0))</f>
        <v>91</v>
      </c>
    </row>
    <row r="45" spans="1:9" ht="30" customHeight="1" x14ac:dyDescent="0.25">
      <c r="A45" s="33">
        <f ca="1">IF(ROWS($A$10:$A45)&lt;=$B$5,ROWS($A$10:$A45),"")</f>
        <v>36</v>
      </c>
      <c r="B45" s="34" t="str">
        <f ca="1">IF($A45="","",INDEX(Base_Altas_Recibidas!$A$5:$A$104,$I45))</f>
        <v>SEC-1094</v>
      </c>
      <c r="C45" s="34" t="str">
        <f ca="1">IF($A45="","",INDEX(Base_Altas_Recibidas!$C$5:$C$104,$I45))</f>
        <v>CallCenter_Alpha</v>
      </c>
      <c r="D45" s="34" t="str">
        <f ca="1">IF($A45="","",INDEX(Base_Altas_Recibidas!$D$5:$D$104,$I45))</f>
        <v>13.274.667-2</v>
      </c>
      <c r="E45" s="34" t="str">
        <f ca="1">IF($A45="","",INDEX(Base_Altas_Recibidas!$E$5:$E$104,$I45))</f>
        <v>Joaquín Hernández López</v>
      </c>
      <c r="F45" s="34" t="str">
        <f ca="1">IF($A45="","",INDEX(Base_Altas_Recibidas!$K$5:$K$104,$I45))</f>
        <v>RECHAZADO_DESCALCE_PRIMA</v>
      </c>
      <c r="G45" s="35" t="str">
        <f ca="1">IF($A45="","",IF($F45="RECHAZADO_DATOS_INCOMPLETOS","Campos obligatorios incompletos o fecha/prima inválida",IF($F45="RECHAZADO_ID_DUPLICADO","Identificador de solicitud duplicado: "&amp;$B45,IF($F45="RECHAZADO_PLAN_NO_CATALOGADO","El plan solicitado no existe en el catálogo PIMS: "&amp;INDEX(Base_Altas_Recibidas!$H$5:$H$104,$I45),IF($F45="RECHAZADO_ELEGIBILIDAD","Edad fuera del rango definido en catálogo (18-65 como supuesto del laboratorio): "&amp;INDEX(Base_Altas_Recibidas!$G$5:$G$104,$I45)&amp;" años",IF($F45="RECHAZADO_RUT_INVALIDO",IF(OR(NOT(ISNUMBER(FIND("-",TRIM($D45)))),LEN(INDEX(Base_Altas_Recibidas!$M$5:$M$104,$I45))&lt;8,LEN(INDEX(Base_Altas_Recibidas!$M$5:$M$104,$I45))&gt;9),"Formato de RUT incompleto o inválido","Dígito verificador Módulo 11 no coincide"),"Prima informada ($"&amp;INDEX(Base_Altas_Recibidas!$I$5:$I$104,$I45)&amp;") no coincide con tarifa oficial PIMS ($"&amp;INDEX(Base_Altas_Recibidas!$J$5:$J$104,$I45)&amp;")"))))))</f>
        <v>Prima informada ($15990) no coincide con tarifa oficial PIMS ($12990)</v>
      </c>
      <c r="H45" s="35" t="str">
        <f t="shared" ca="1" si="1"/>
        <v>Corregir prima contra el catálogo oficial; si hubo cobro distinto, escalar para regularización.</v>
      </c>
      <c r="I45" s="36">
        <f ca="1">IF($A45="","",MATCH($A45,Base_Altas_Recibidas!$O$5:$O$104,0))</f>
        <v>94</v>
      </c>
    </row>
    <row r="46" spans="1:9" ht="30" customHeight="1" x14ac:dyDescent="0.25">
      <c r="A46" s="29">
        <f ca="1">IF(ROWS($A$10:$A46)&lt;=$B$5,ROWS($A$10:$A46),"")</f>
        <v>37</v>
      </c>
      <c r="B46" s="30" t="str">
        <f ca="1">IF($A46="","",INDEX(Base_Altas_Recibidas!$A$5:$A$104,$I46))</f>
        <v>SEC-1097</v>
      </c>
      <c r="C46" s="30" t="str">
        <f ca="1">IF($A46="","",INDEX(Base_Altas_Recibidas!$C$5:$C$104,$I46))</f>
        <v>CallCenter_Beta</v>
      </c>
      <c r="D46" s="30" t="str">
        <f ca="1">IF($A46="","",INDEX(Base_Altas_Recibidas!$D$5:$D$104,$I46))</f>
        <v>9.881.89X-1</v>
      </c>
      <c r="E46" s="30" t="str">
        <f ca="1">IF($A46="","",INDEX(Base_Altas_Recibidas!$E$5:$E$104,$I46))</f>
        <v>Matías Rodríguez Hernández</v>
      </c>
      <c r="F46" s="30" t="str">
        <f ca="1">IF($A46="","",INDEX(Base_Altas_Recibidas!$K$5:$K$104,$I46))</f>
        <v>RECHAZADO_RUT_INVALIDO</v>
      </c>
      <c r="G46" s="31" t="str">
        <f ca="1">IF($A46="","",IF($F46="RECHAZADO_DATOS_INCOMPLETOS","Campos obligatorios incompletos o fecha/prima inválida",IF($F46="RECHAZADO_ID_DUPLICADO","Identificador de solicitud duplicado: "&amp;$B46,IF($F46="RECHAZADO_PLAN_NO_CATALOGADO","El plan solicitado no existe en el catálogo PIMS: "&amp;INDEX(Base_Altas_Recibidas!$H$5:$H$104,$I46),IF($F46="RECHAZADO_ELEGIBILIDAD","Edad fuera del rango definido en catálogo (18-65 como supuesto del laboratorio): "&amp;INDEX(Base_Altas_Recibidas!$G$5:$G$104,$I46)&amp;" años",IF($F46="RECHAZADO_RUT_INVALIDO",IF(OR(NOT(ISNUMBER(FIND("-",TRIM($D46)))),LEN(INDEX(Base_Altas_Recibidas!$M$5:$M$104,$I46))&lt;8,LEN(INDEX(Base_Altas_Recibidas!$M$5:$M$104,$I46))&gt;9),"Formato de RUT incompleto o inválido","Dígito verificador Módulo 11 no coincide"),"Prima informada ($"&amp;INDEX(Base_Altas_Recibidas!$I$5:$I$104,$I46)&amp;") no coincide con tarifa oficial PIMS ($"&amp;INDEX(Base_Altas_Recibidas!$J$5:$J$104,$I46)&amp;")"))))))</f>
        <v>Dígito verificador Módulo 11 no coincide</v>
      </c>
      <c r="H46" s="31" t="str">
        <f t="shared" ca="1" si="1"/>
        <v>Contrastar con documento de identidad, corregir RUT y volver a validar.</v>
      </c>
      <c r="I46" s="32">
        <f ca="1">IF($A46="","",MATCH($A46,Base_Altas_Recibidas!$O$5:$O$104,0))</f>
        <v>97</v>
      </c>
    </row>
    <row r="47" spans="1:9" ht="30" customHeight="1" x14ac:dyDescent="0.25">
      <c r="A47" s="33">
        <f ca="1">IF(ROWS($A$10:$A47)&lt;=$B$5,ROWS($A$10:$A47),"")</f>
        <v>38</v>
      </c>
      <c r="B47" s="34" t="str">
        <f ca="1">IF($A47="","",INDEX(Base_Altas_Recibidas!$A$5:$A$104,$I47))</f>
        <v>SEC-1100</v>
      </c>
      <c r="C47" s="34" t="str">
        <f ca="1">IF($A47="","",INDEX(Base_Altas_Recibidas!$C$5:$C$104,$I47))</f>
        <v>CallCenter_Beta</v>
      </c>
      <c r="D47" s="34" t="str">
        <f ca="1">IF($A47="","",INDEX(Base_Altas_Recibidas!$D$5:$D$104,$I47))</f>
        <v>24.369.498-1</v>
      </c>
      <c r="E47" s="34" t="str">
        <f ca="1">IF($A47="","",INDEX(Base_Altas_Recibidas!$E$5:$E$104,$I47))</f>
        <v>Carolina Flores Silva</v>
      </c>
      <c r="F47" s="34" t="str">
        <f ca="1">IF($A47="","",INDEX(Base_Altas_Recibidas!$K$5:$K$104,$I47))</f>
        <v>RECHAZADO_ELEGIBILIDAD</v>
      </c>
      <c r="G47" s="35" t="str">
        <f ca="1">IF($A47="","",IF($F47="RECHAZADO_DATOS_INCOMPLETOS","Campos obligatorios incompletos o fecha/prima inválida",IF($F47="RECHAZADO_ID_DUPLICADO","Identificador de solicitud duplicado: "&amp;$B47,IF($F47="RECHAZADO_PLAN_NO_CATALOGADO","El plan solicitado no existe en el catálogo PIMS: "&amp;INDEX(Base_Altas_Recibidas!$H$5:$H$104,$I47),IF($F47="RECHAZADO_ELEGIBILIDAD","Edad fuera del rango definido en catálogo (18-65 como supuesto del laboratorio): "&amp;INDEX(Base_Altas_Recibidas!$G$5:$G$104,$I47)&amp;" años",IF($F47="RECHAZADO_RUT_INVALIDO",IF(OR(NOT(ISNUMBER(FIND("-",TRIM($D47)))),LEN(INDEX(Base_Altas_Recibidas!$M$5:$M$104,$I47))&lt;8,LEN(INDEX(Base_Altas_Recibidas!$M$5:$M$104,$I47))&gt;9),"Formato de RUT incompleto o inválido","Dígito verificador Módulo 11 no coincide"),"Prima informada ($"&amp;INDEX(Base_Altas_Recibidas!$I$5:$I$104,$I47)&amp;") no coincide con tarifa oficial PIMS ($"&amp;INDEX(Base_Altas_Recibidas!$J$5:$J$104,$I47)&amp;")"))))))</f>
        <v>Edad fuera del rango definido en catálogo (18-65 como supuesto del laboratorio): 68 años</v>
      </c>
      <c r="H47" s="35" t="str">
        <f t="shared" ca="1" si="1"/>
        <v>No cargar; confirmar elegibilidad según condiciones autorizadas del producto.</v>
      </c>
      <c r="I47" s="36">
        <f ca="1">IF($A47="","",MATCH($A47,Base_Altas_Recibidas!$O$5:$O$104,0))</f>
        <v>100</v>
      </c>
    </row>
    <row r="48" spans="1:9" ht="30" customHeight="1" x14ac:dyDescent="0.25">
      <c r="A48" s="29" t="str">
        <f ca="1">IF(ROWS($A$10:$A48)&lt;=$B$5,ROWS($A$10:$A48),"")</f>
        <v/>
      </c>
      <c r="B48" s="30" t="str">
        <f ca="1">IF($A48="","",INDEX(Base_Altas_Recibidas!$A$5:$A$104,$I48))</f>
        <v/>
      </c>
      <c r="C48" s="30" t="str">
        <f ca="1">IF($A48="","",INDEX(Base_Altas_Recibidas!$C$5:$C$104,$I48))</f>
        <v/>
      </c>
      <c r="D48" s="30" t="str">
        <f ca="1">IF($A48="","",INDEX(Base_Altas_Recibidas!$D$5:$D$104,$I48))</f>
        <v/>
      </c>
      <c r="E48" s="30" t="str">
        <f ca="1">IF($A48="","",INDEX(Base_Altas_Recibidas!$E$5:$E$104,$I48))</f>
        <v/>
      </c>
      <c r="F48" s="30" t="str">
        <f ca="1">IF($A48="","",INDEX(Base_Altas_Recibidas!$K$5:$K$104,$I48))</f>
        <v/>
      </c>
      <c r="G48" s="31" t="str">
        <f ca="1">IF($A48="","",IF($F48="RECHAZADO_DATOS_INCOMPLETOS","Campos obligatorios incompletos o fecha/prima inválida",IF($F48="RECHAZADO_ID_DUPLICADO","Identificador de solicitud duplicado: "&amp;$B48,IF($F48="RECHAZADO_PLAN_NO_CATALOGADO","El plan solicitado no existe en el catálogo PIMS: "&amp;INDEX(Base_Altas_Recibidas!$H$5:$H$104,$I48),IF($F48="RECHAZADO_ELEGIBILIDAD","Edad fuera del rango definido en catálogo (18-65 como supuesto del laboratorio): "&amp;INDEX(Base_Altas_Recibidas!$G$5:$G$104,$I48)&amp;" años",IF($F48="RECHAZADO_RUT_INVALIDO",IF(OR(NOT(ISNUMBER(FIND("-",TRIM($D48)))),LEN(INDEX(Base_Altas_Recibidas!$M$5:$M$104,$I48))&lt;8,LEN(INDEX(Base_Altas_Recibidas!$M$5:$M$104,$I48))&gt;9),"Formato de RUT incompleto o inválido","Dígito verificador Módulo 11 no coincide"),"Prima informada ($"&amp;INDEX(Base_Altas_Recibidas!$I$5:$I$104,$I48)&amp;") no coincide con tarifa oficial PIMS ($"&amp;INDEX(Base_Altas_Recibidas!$J$5:$J$104,$I48)&amp;")"))))))</f>
        <v/>
      </c>
      <c r="H48" s="31" t="str">
        <f t="shared" ca="1" si="1"/>
        <v/>
      </c>
      <c r="I48" s="32" t="str">
        <f ca="1">IF($A48="","",MATCH($A48,Base_Altas_Recibidas!$O$5:$O$104,0))</f>
        <v/>
      </c>
    </row>
    <row r="49" spans="1:9" ht="30" customHeight="1" x14ac:dyDescent="0.25">
      <c r="A49" s="33" t="str">
        <f ca="1">IF(ROWS($A$10:$A49)&lt;=$B$5,ROWS($A$10:$A49),"")</f>
        <v/>
      </c>
      <c r="B49" s="34" t="str">
        <f ca="1">IF($A49="","",INDEX(Base_Altas_Recibidas!$A$5:$A$104,$I49))</f>
        <v/>
      </c>
      <c r="C49" s="34" t="str">
        <f ca="1">IF($A49="","",INDEX(Base_Altas_Recibidas!$C$5:$C$104,$I49))</f>
        <v/>
      </c>
      <c r="D49" s="34" t="str">
        <f ca="1">IF($A49="","",INDEX(Base_Altas_Recibidas!$D$5:$D$104,$I49))</f>
        <v/>
      </c>
      <c r="E49" s="34" t="str">
        <f ca="1">IF($A49="","",INDEX(Base_Altas_Recibidas!$E$5:$E$104,$I49))</f>
        <v/>
      </c>
      <c r="F49" s="34" t="str">
        <f ca="1">IF($A49="","",INDEX(Base_Altas_Recibidas!$K$5:$K$104,$I49))</f>
        <v/>
      </c>
      <c r="G49" s="35" t="str">
        <f ca="1">IF($A49="","",IF($F49="RECHAZADO_DATOS_INCOMPLETOS","Campos obligatorios incompletos o fecha/prima inválida",IF($F49="RECHAZADO_ID_DUPLICADO","Identificador de solicitud duplicado: "&amp;$B49,IF($F49="RECHAZADO_PLAN_NO_CATALOGADO","El plan solicitado no existe en el catálogo PIMS: "&amp;INDEX(Base_Altas_Recibidas!$H$5:$H$104,$I49),IF($F49="RECHAZADO_ELEGIBILIDAD","Edad fuera del rango definido en catálogo (18-65 como supuesto del laboratorio): "&amp;INDEX(Base_Altas_Recibidas!$G$5:$G$104,$I49)&amp;" años",IF($F49="RECHAZADO_RUT_INVALIDO",IF(OR(NOT(ISNUMBER(FIND("-",TRIM($D49)))),LEN(INDEX(Base_Altas_Recibidas!$M$5:$M$104,$I49))&lt;8,LEN(INDEX(Base_Altas_Recibidas!$M$5:$M$104,$I49))&gt;9),"Formato de RUT incompleto o inválido","Dígito verificador Módulo 11 no coincide"),"Prima informada ($"&amp;INDEX(Base_Altas_Recibidas!$I$5:$I$104,$I49)&amp;") no coincide con tarifa oficial PIMS ($"&amp;INDEX(Base_Altas_Recibidas!$J$5:$J$104,$I49)&amp;")"))))))</f>
        <v/>
      </c>
      <c r="H49" s="35" t="str">
        <f t="shared" ca="1" si="1"/>
        <v/>
      </c>
      <c r="I49" s="36" t="str">
        <f ca="1">IF($A49="","",MATCH($A49,Base_Altas_Recibidas!$O$5:$O$104,0))</f>
        <v/>
      </c>
    </row>
    <row r="50" spans="1:9" ht="30" customHeight="1" x14ac:dyDescent="0.25">
      <c r="A50" s="29" t="str">
        <f ca="1">IF(ROWS($A$10:$A50)&lt;=$B$5,ROWS($A$10:$A50),"")</f>
        <v/>
      </c>
      <c r="B50" s="30" t="str">
        <f ca="1">IF($A50="","",INDEX(Base_Altas_Recibidas!$A$5:$A$104,$I50))</f>
        <v/>
      </c>
      <c r="C50" s="30" t="str">
        <f ca="1">IF($A50="","",INDEX(Base_Altas_Recibidas!$C$5:$C$104,$I50))</f>
        <v/>
      </c>
      <c r="D50" s="30" t="str">
        <f ca="1">IF($A50="","",INDEX(Base_Altas_Recibidas!$D$5:$D$104,$I50))</f>
        <v/>
      </c>
      <c r="E50" s="30" t="str">
        <f ca="1">IF($A50="","",INDEX(Base_Altas_Recibidas!$E$5:$E$104,$I50))</f>
        <v/>
      </c>
      <c r="F50" s="30" t="str">
        <f ca="1">IF($A50="","",INDEX(Base_Altas_Recibidas!$K$5:$K$104,$I50))</f>
        <v/>
      </c>
      <c r="G50" s="31" t="str">
        <f ca="1">IF($A50="","",IF($F50="RECHAZADO_DATOS_INCOMPLETOS","Campos obligatorios incompletos o fecha/prima inválida",IF($F50="RECHAZADO_ID_DUPLICADO","Identificador de solicitud duplicado: "&amp;$B50,IF($F50="RECHAZADO_PLAN_NO_CATALOGADO","El plan solicitado no existe en el catálogo PIMS: "&amp;INDEX(Base_Altas_Recibidas!$H$5:$H$104,$I50),IF($F50="RECHAZADO_ELEGIBILIDAD","Edad fuera del rango definido en catálogo (18-65 como supuesto del laboratorio): "&amp;INDEX(Base_Altas_Recibidas!$G$5:$G$104,$I50)&amp;" años",IF($F50="RECHAZADO_RUT_INVALIDO",IF(OR(NOT(ISNUMBER(FIND("-",TRIM($D50)))),LEN(INDEX(Base_Altas_Recibidas!$M$5:$M$104,$I50))&lt;8,LEN(INDEX(Base_Altas_Recibidas!$M$5:$M$104,$I50))&gt;9),"Formato de RUT incompleto o inválido","Dígito verificador Módulo 11 no coincide"),"Prima informada ($"&amp;INDEX(Base_Altas_Recibidas!$I$5:$I$104,$I50)&amp;") no coincide con tarifa oficial PIMS ($"&amp;INDEX(Base_Altas_Recibidas!$J$5:$J$104,$I50)&amp;")"))))))</f>
        <v/>
      </c>
      <c r="H50" s="31" t="str">
        <f t="shared" ca="1" si="1"/>
        <v/>
      </c>
      <c r="I50" s="32" t="str">
        <f ca="1">IF($A50="","",MATCH($A50,Base_Altas_Recibidas!$O$5:$O$104,0))</f>
        <v/>
      </c>
    </row>
    <row r="51" spans="1:9" ht="30" customHeight="1" x14ac:dyDescent="0.25">
      <c r="A51" s="33" t="str">
        <f ca="1">IF(ROWS($A$10:$A51)&lt;=$B$5,ROWS($A$10:$A51),"")</f>
        <v/>
      </c>
      <c r="B51" s="34" t="str">
        <f ca="1">IF($A51="","",INDEX(Base_Altas_Recibidas!$A$5:$A$104,$I51))</f>
        <v/>
      </c>
      <c r="C51" s="34" t="str">
        <f ca="1">IF($A51="","",INDEX(Base_Altas_Recibidas!$C$5:$C$104,$I51))</f>
        <v/>
      </c>
      <c r="D51" s="34" t="str">
        <f ca="1">IF($A51="","",INDEX(Base_Altas_Recibidas!$D$5:$D$104,$I51))</f>
        <v/>
      </c>
      <c r="E51" s="34" t="str">
        <f ca="1">IF($A51="","",INDEX(Base_Altas_Recibidas!$E$5:$E$104,$I51))</f>
        <v/>
      </c>
      <c r="F51" s="34" t="str">
        <f ca="1">IF($A51="","",INDEX(Base_Altas_Recibidas!$K$5:$K$104,$I51))</f>
        <v/>
      </c>
      <c r="G51" s="35" t="str">
        <f ca="1">IF($A51="","",IF($F51="RECHAZADO_DATOS_INCOMPLETOS","Campos obligatorios incompletos o fecha/prima inválida",IF($F51="RECHAZADO_ID_DUPLICADO","Identificador de solicitud duplicado: "&amp;$B51,IF($F51="RECHAZADO_PLAN_NO_CATALOGADO","El plan solicitado no existe en el catálogo PIMS: "&amp;INDEX(Base_Altas_Recibidas!$H$5:$H$104,$I51),IF($F51="RECHAZADO_ELEGIBILIDAD","Edad fuera del rango definido en catálogo (18-65 como supuesto del laboratorio): "&amp;INDEX(Base_Altas_Recibidas!$G$5:$G$104,$I51)&amp;" años",IF($F51="RECHAZADO_RUT_INVALIDO",IF(OR(NOT(ISNUMBER(FIND("-",TRIM($D51)))),LEN(INDEX(Base_Altas_Recibidas!$M$5:$M$104,$I51))&lt;8,LEN(INDEX(Base_Altas_Recibidas!$M$5:$M$104,$I51))&gt;9),"Formato de RUT incompleto o inválido","Dígito verificador Módulo 11 no coincide"),"Prima informada ($"&amp;INDEX(Base_Altas_Recibidas!$I$5:$I$104,$I51)&amp;") no coincide con tarifa oficial PIMS ($"&amp;INDEX(Base_Altas_Recibidas!$J$5:$J$104,$I51)&amp;")"))))))</f>
        <v/>
      </c>
      <c r="H51" s="35" t="str">
        <f t="shared" ca="1" si="1"/>
        <v/>
      </c>
      <c r="I51" s="36" t="str">
        <f ca="1">IF($A51="","",MATCH($A51,Base_Altas_Recibidas!$O$5:$O$104,0))</f>
        <v/>
      </c>
    </row>
    <row r="52" spans="1:9" ht="30" customHeight="1" x14ac:dyDescent="0.25">
      <c r="A52" s="29" t="str">
        <f ca="1">IF(ROWS($A$10:$A52)&lt;=$B$5,ROWS($A$10:$A52),"")</f>
        <v/>
      </c>
      <c r="B52" s="30" t="str">
        <f ca="1">IF($A52="","",INDEX(Base_Altas_Recibidas!$A$5:$A$104,$I52))</f>
        <v/>
      </c>
      <c r="C52" s="30" t="str">
        <f ca="1">IF($A52="","",INDEX(Base_Altas_Recibidas!$C$5:$C$104,$I52))</f>
        <v/>
      </c>
      <c r="D52" s="30" t="str">
        <f ca="1">IF($A52="","",INDEX(Base_Altas_Recibidas!$D$5:$D$104,$I52))</f>
        <v/>
      </c>
      <c r="E52" s="30" t="str">
        <f ca="1">IF($A52="","",INDEX(Base_Altas_Recibidas!$E$5:$E$104,$I52))</f>
        <v/>
      </c>
      <c r="F52" s="30" t="str">
        <f ca="1">IF($A52="","",INDEX(Base_Altas_Recibidas!$K$5:$K$104,$I52))</f>
        <v/>
      </c>
      <c r="G52" s="31" t="str">
        <f ca="1">IF($A52="","",IF($F52="RECHAZADO_DATOS_INCOMPLETOS","Campos obligatorios incompletos o fecha/prima inválida",IF($F52="RECHAZADO_ID_DUPLICADO","Identificador de solicitud duplicado: "&amp;$B52,IF($F52="RECHAZADO_PLAN_NO_CATALOGADO","El plan solicitado no existe en el catálogo PIMS: "&amp;INDEX(Base_Altas_Recibidas!$H$5:$H$104,$I52),IF($F52="RECHAZADO_ELEGIBILIDAD","Edad fuera del rango definido en catálogo (18-65 como supuesto del laboratorio): "&amp;INDEX(Base_Altas_Recibidas!$G$5:$G$104,$I52)&amp;" años",IF($F52="RECHAZADO_RUT_INVALIDO",IF(OR(NOT(ISNUMBER(FIND("-",TRIM($D52)))),LEN(INDEX(Base_Altas_Recibidas!$M$5:$M$104,$I52))&lt;8,LEN(INDEX(Base_Altas_Recibidas!$M$5:$M$104,$I52))&gt;9),"Formato de RUT incompleto o inválido","Dígito verificador Módulo 11 no coincide"),"Prima informada ($"&amp;INDEX(Base_Altas_Recibidas!$I$5:$I$104,$I52)&amp;") no coincide con tarifa oficial PIMS ($"&amp;INDEX(Base_Altas_Recibidas!$J$5:$J$104,$I52)&amp;")"))))))</f>
        <v/>
      </c>
      <c r="H52" s="31" t="str">
        <f t="shared" ca="1" si="1"/>
        <v/>
      </c>
      <c r="I52" s="32" t="str">
        <f ca="1">IF($A52="","",MATCH($A52,Base_Altas_Recibidas!$O$5:$O$104,0))</f>
        <v/>
      </c>
    </row>
    <row r="53" spans="1:9" ht="30" customHeight="1" x14ac:dyDescent="0.25">
      <c r="A53" s="33" t="str">
        <f ca="1">IF(ROWS($A$10:$A53)&lt;=$B$5,ROWS($A$10:$A53),"")</f>
        <v/>
      </c>
      <c r="B53" s="34" t="str">
        <f ca="1">IF($A53="","",INDEX(Base_Altas_Recibidas!$A$5:$A$104,$I53))</f>
        <v/>
      </c>
      <c r="C53" s="34" t="str">
        <f ca="1">IF($A53="","",INDEX(Base_Altas_Recibidas!$C$5:$C$104,$I53))</f>
        <v/>
      </c>
      <c r="D53" s="34" t="str">
        <f ca="1">IF($A53="","",INDEX(Base_Altas_Recibidas!$D$5:$D$104,$I53))</f>
        <v/>
      </c>
      <c r="E53" s="34" t="str">
        <f ca="1">IF($A53="","",INDEX(Base_Altas_Recibidas!$E$5:$E$104,$I53))</f>
        <v/>
      </c>
      <c r="F53" s="34" t="str">
        <f ca="1">IF($A53="","",INDEX(Base_Altas_Recibidas!$K$5:$K$104,$I53))</f>
        <v/>
      </c>
      <c r="G53" s="35" t="str">
        <f ca="1">IF($A53="","",IF($F53="RECHAZADO_DATOS_INCOMPLETOS","Campos obligatorios incompletos o fecha/prima inválida",IF($F53="RECHAZADO_ID_DUPLICADO","Identificador de solicitud duplicado: "&amp;$B53,IF($F53="RECHAZADO_PLAN_NO_CATALOGADO","El plan solicitado no existe en el catálogo PIMS: "&amp;INDEX(Base_Altas_Recibidas!$H$5:$H$104,$I53),IF($F53="RECHAZADO_ELEGIBILIDAD","Edad fuera del rango definido en catálogo (18-65 como supuesto del laboratorio): "&amp;INDEX(Base_Altas_Recibidas!$G$5:$G$104,$I53)&amp;" años",IF($F53="RECHAZADO_RUT_INVALIDO",IF(OR(NOT(ISNUMBER(FIND("-",TRIM($D53)))),LEN(INDEX(Base_Altas_Recibidas!$M$5:$M$104,$I53))&lt;8,LEN(INDEX(Base_Altas_Recibidas!$M$5:$M$104,$I53))&gt;9),"Formato de RUT incompleto o inválido","Dígito verificador Módulo 11 no coincide"),"Prima informada ($"&amp;INDEX(Base_Altas_Recibidas!$I$5:$I$104,$I53)&amp;") no coincide con tarifa oficial PIMS ($"&amp;INDEX(Base_Altas_Recibidas!$J$5:$J$104,$I53)&amp;")"))))))</f>
        <v/>
      </c>
      <c r="H53" s="35" t="str">
        <f t="shared" ca="1" si="1"/>
        <v/>
      </c>
      <c r="I53" s="36" t="str">
        <f ca="1">IF($A53="","",MATCH($A53,Base_Altas_Recibidas!$O$5:$O$104,0))</f>
        <v/>
      </c>
    </row>
    <row r="54" spans="1:9" ht="30" customHeight="1" x14ac:dyDescent="0.25">
      <c r="A54" s="29" t="str">
        <f ca="1">IF(ROWS($A$10:$A54)&lt;=$B$5,ROWS($A$10:$A54),"")</f>
        <v/>
      </c>
      <c r="B54" s="30" t="str">
        <f ca="1">IF($A54="","",INDEX(Base_Altas_Recibidas!$A$5:$A$104,$I54))</f>
        <v/>
      </c>
      <c r="C54" s="30" t="str">
        <f ca="1">IF($A54="","",INDEX(Base_Altas_Recibidas!$C$5:$C$104,$I54))</f>
        <v/>
      </c>
      <c r="D54" s="30" t="str">
        <f ca="1">IF($A54="","",INDEX(Base_Altas_Recibidas!$D$5:$D$104,$I54))</f>
        <v/>
      </c>
      <c r="E54" s="30" t="str">
        <f ca="1">IF($A54="","",INDEX(Base_Altas_Recibidas!$E$5:$E$104,$I54))</f>
        <v/>
      </c>
      <c r="F54" s="30" t="str">
        <f ca="1">IF($A54="","",INDEX(Base_Altas_Recibidas!$K$5:$K$104,$I54))</f>
        <v/>
      </c>
      <c r="G54" s="31" t="str">
        <f ca="1">IF($A54="","",IF($F54="RECHAZADO_DATOS_INCOMPLETOS","Campos obligatorios incompletos o fecha/prima inválida",IF($F54="RECHAZADO_ID_DUPLICADO","Identificador de solicitud duplicado: "&amp;$B54,IF($F54="RECHAZADO_PLAN_NO_CATALOGADO","El plan solicitado no existe en el catálogo PIMS: "&amp;INDEX(Base_Altas_Recibidas!$H$5:$H$104,$I54),IF($F54="RECHAZADO_ELEGIBILIDAD","Edad fuera del rango definido en catálogo (18-65 como supuesto del laboratorio): "&amp;INDEX(Base_Altas_Recibidas!$G$5:$G$104,$I54)&amp;" años",IF($F54="RECHAZADO_RUT_INVALIDO",IF(OR(NOT(ISNUMBER(FIND("-",TRIM($D54)))),LEN(INDEX(Base_Altas_Recibidas!$M$5:$M$104,$I54))&lt;8,LEN(INDEX(Base_Altas_Recibidas!$M$5:$M$104,$I54))&gt;9),"Formato de RUT incompleto o inválido","Dígito verificador Módulo 11 no coincide"),"Prima informada ($"&amp;INDEX(Base_Altas_Recibidas!$I$5:$I$104,$I54)&amp;") no coincide con tarifa oficial PIMS ($"&amp;INDEX(Base_Altas_Recibidas!$J$5:$J$104,$I54)&amp;")"))))))</f>
        <v/>
      </c>
      <c r="H54" s="31" t="str">
        <f t="shared" ca="1" si="1"/>
        <v/>
      </c>
      <c r="I54" s="32" t="str">
        <f ca="1">IF($A54="","",MATCH($A54,Base_Altas_Recibidas!$O$5:$O$104,0))</f>
        <v/>
      </c>
    </row>
    <row r="55" spans="1:9" ht="30" customHeight="1" x14ac:dyDescent="0.25">
      <c r="A55" s="33" t="str">
        <f ca="1">IF(ROWS($A$10:$A55)&lt;=$B$5,ROWS($A$10:$A55),"")</f>
        <v/>
      </c>
      <c r="B55" s="34" t="str">
        <f ca="1">IF($A55="","",INDEX(Base_Altas_Recibidas!$A$5:$A$104,$I55))</f>
        <v/>
      </c>
      <c r="C55" s="34" t="str">
        <f ca="1">IF($A55="","",INDEX(Base_Altas_Recibidas!$C$5:$C$104,$I55))</f>
        <v/>
      </c>
      <c r="D55" s="34" t="str">
        <f ca="1">IF($A55="","",INDEX(Base_Altas_Recibidas!$D$5:$D$104,$I55))</f>
        <v/>
      </c>
      <c r="E55" s="34" t="str">
        <f ca="1">IF($A55="","",INDEX(Base_Altas_Recibidas!$E$5:$E$104,$I55))</f>
        <v/>
      </c>
      <c r="F55" s="34" t="str">
        <f ca="1">IF($A55="","",INDEX(Base_Altas_Recibidas!$K$5:$K$104,$I55))</f>
        <v/>
      </c>
      <c r="G55" s="35" t="str">
        <f ca="1">IF($A55="","",IF($F55="RECHAZADO_DATOS_INCOMPLETOS","Campos obligatorios incompletos o fecha/prima inválida",IF($F55="RECHAZADO_ID_DUPLICADO","Identificador de solicitud duplicado: "&amp;$B55,IF($F55="RECHAZADO_PLAN_NO_CATALOGADO","El plan solicitado no existe en el catálogo PIMS: "&amp;INDEX(Base_Altas_Recibidas!$H$5:$H$104,$I55),IF($F55="RECHAZADO_ELEGIBILIDAD","Edad fuera del rango definido en catálogo (18-65 como supuesto del laboratorio): "&amp;INDEX(Base_Altas_Recibidas!$G$5:$G$104,$I55)&amp;" años",IF($F55="RECHAZADO_RUT_INVALIDO",IF(OR(NOT(ISNUMBER(FIND("-",TRIM($D55)))),LEN(INDEX(Base_Altas_Recibidas!$M$5:$M$104,$I55))&lt;8,LEN(INDEX(Base_Altas_Recibidas!$M$5:$M$104,$I55))&gt;9),"Formato de RUT incompleto o inválido","Dígito verificador Módulo 11 no coincide"),"Prima informada ($"&amp;INDEX(Base_Altas_Recibidas!$I$5:$I$104,$I55)&amp;") no coincide con tarifa oficial PIMS ($"&amp;INDEX(Base_Altas_Recibidas!$J$5:$J$104,$I55)&amp;")"))))))</f>
        <v/>
      </c>
      <c r="H55" s="35" t="str">
        <f t="shared" ca="1" si="1"/>
        <v/>
      </c>
      <c r="I55" s="36" t="str">
        <f ca="1">IF($A55="","",MATCH($A55,Base_Altas_Recibidas!$O$5:$O$104,0))</f>
        <v/>
      </c>
    </row>
    <row r="56" spans="1:9" ht="30" customHeight="1" x14ac:dyDescent="0.25">
      <c r="A56" s="29" t="str">
        <f ca="1">IF(ROWS($A$10:$A56)&lt;=$B$5,ROWS($A$10:$A56),"")</f>
        <v/>
      </c>
      <c r="B56" s="30" t="str">
        <f ca="1">IF($A56="","",INDEX(Base_Altas_Recibidas!$A$5:$A$104,$I56))</f>
        <v/>
      </c>
      <c r="C56" s="30" t="str">
        <f ca="1">IF($A56="","",INDEX(Base_Altas_Recibidas!$C$5:$C$104,$I56))</f>
        <v/>
      </c>
      <c r="D56" s="30" t="str">
        <f ca="1">IF($A56="","",INDEX(Base_Altas_Recibidas!$D$5:$D$104,$I56))</f>
        <v/>
      </c>
      <c r="E56" s="30" t="str">
        <f ca="1">IF($A56="","",INDEX(Base_Altas_Recibidas!$E$5:$E$104,$I56))</f>
        <v/>
      </c>
      <c r="F56" s="30" t="str">
        <f ca="1">IF($A56="","",INDEX(Base_Altas_Recibidas!$K$5:$K$104,$I56))</f>
        <v/>
      </c>
      <c r="G56" s="31" t="str">
        <f ca="1">IF($A56="","",IF($F56="RECHAZADO_DATOS_INCOMPLETOS","Campos obligatorios incompletos o fecha/prima inválida",IF($F56="RECHAZADO_ID_DUPLICADO","Identificador de solicitud duplicado: "&amp;$B56,IF($F56="RECHAZADO_PLAN_NO_CATALOGADO","El plan solicitado no existe en el catálogo PIMS: "&amp;INDEX(Base_Altas_Recibidas!$H$5:$H$104,$I56),IF($F56="RECHAZADO_ELEGIBILIDAD","Edad fuera del rango definido en catálogo (18-65 como supuesto del laboratorio): "&amp;INDEX(Base_Altas_Recibidas!$G$5:$G$104,$I56)&amp;" años",IF($F56="RECHAZADO_RUT_INVALIDO",IF(OR(NOT(ISNUMBER(FIND("-",TRIM($D56)))),LEN(INDEX(Base_Altas_Recibidas!$M$5:$M$104,$I56))&lt;8,LEN(INDEX(Base_Altas_Recibidas!$M$5:$M$104,$I56))&gt;9),"Formato de RUT incompleto o inválido","Dígito verificador Módulo 11 no coincide"),"Prima informada ($"&amp;INDEX(Base_Altas_Recibidas!$I$5:$I$104,$I56)&amp;") no coincide con tarifa oficial PIMS ($"&amp;INDEX(Base_Altas_Recibidas!$J$5:$J$104,$I56)&amp;")"))))))</f>
        <v/>
      </c>
      <c r="H56" s="31" t="str">
        <f t="shared" ca="1" si="1"/>
        <v/>
      </c>
      <c r="I56" s="32" t="str">
        <f ca="1">IF($A56="","",MATCH($A56,Base_Altas_Recibidas!$O$5:$O$104,0))</f>
        <v/>
      </c>
    </row>
    <row r="57" spans="1:9" ht="30" customHeight="1" x14ac:dyDescent="0.25">
      <c r="A57" s="33" t="str">
        <f ca="1">IF(ROWS($A$10:$A57)&lt;=$B$5,ROWS($A$10:$A57),"")</f>
        <v/>
      </c>
      <c r="B57" s="34" t="str">
        <f ca="1">IF($A57="","",INDEX(Base_Altas_Recibidas!$A$5:$A$104,$I57))</f>
        <v/>
      </c>
      <c r="C57" s="34" t="str">
        <f ca="1">IF($A57="","",INDEX(Base_Altas_Recibidas!$C$5:$C$104,$I57))</f>
        <v/>
      </c>
      <c r="D57" s="34" t="str">
        <f ca="1">IF($A57="","",INDEX(Base_Altas_Recibidas!$D$5:$D$104,$I57))</f>
        <v/>
      </c>
      <c r="E57" s="34" t="str">
        <f ca="1">IF($A57="","",INDEX(Base_Altas_Recibidas!$E$5:$E$104,$I57))</f>
        <v/>
      </c>
      <c r="F57" s="34" t="str">
        <f ca="1">IF($A57="","",INDEX(Base_Altas_Recibidas!$K$5:$K$104,$I57))</f>
        <v/>
      </c>
      <c r="G57" s="35" t="str">
        <f ca="1">IF($A57="","",IF($F57="RECHAZADO_DATOS_INCOMPLETOS","Campos obligatorios incompletos o fecha/prima inválida",IF($F57="RECHAZADO_ID_DUPLICADO","Identificador de solicitud duplicado: "&amp;$B57,IF($F57="RECHAZADO_PLAN_NO_CATALOGADO","El plan solicitado no existe en el catálogo PIMS: "&amp;INDEX(Base_Altas_Recibidas!$H$5:$H$104,$I57),IF($F57="RECHAZADO_ELEGIBILIDAD","Edad fuera del rango definido en catálogo (18-65 como supuesto del laboratorio): "&amp;INDEX(Base_Altas_Recibidas!$G$5:$G$104,$I57)&amp;" años",IF($F57="RECHAZADO_RUT_INVALIDO",IF(OR(NOT(ISNUMBER(FIND("-",TRIM($D57)))),LEN(INDEX(Base_Altas_Recibidas!$M$5:$M$104,$I57))&lt;8,LEN(INDEX(Base_Altas_Recibidas!$M$5:$M$104,$I57))&gt;9),"Formato de RUT incompleto o inválido","Dígito verificador Módulo 11 no coincide"),"Prima informada ($"&amp;INDEX(Base_Altas_Recibidas!$I$5:$I$104,$I57)&amp;") no coincide con tarifa oficial PIMS ($"&amp;INDEX(Base_Altas_Recibidas!$J$5:$J$104,$I57)&amp;")"))))))</f>
        <v/>
      </c>
      <c r="H57" s="35" t="str">
        <f t="shared" ca="1" si="1"/>
        <v/>
      </c>
      <c r="I57" s="36" t="str">
        <f ca="1">IF($A57="","",MATCH($A57,Base_Altas_Recibidas!$O$5:$O$104,0))</f>
        <v/>
      </c>
    </row>
    <row r="58" spans="1:9" ht="30" customHeight="1" x14ac:dyDescent="0.25">
      <c r="A58" s="29" t="str">
        <f ca="1">IF(ROWS($A$10:$A58)&lt;=$B$5,ROWS($A$10:$A58),"")</f>
        <v/>
      </c>
      <c r="B58" s="30" t="str">
        <f ca="1">IF($A58="","",INDEX(Base_Altas_Recibidas!$A$5:$A$104,$I58))</f>
        <v/>
      </c>
      <c r="C58" s="30" t="str">
        <f ca="1">IF($A58="","",INDEX(Base_Altas_Recibidas!$C$5:$C$104,$I58))</f>
        <v/>
      </c>
      <c r="D58" s="30" t="str">
        <f ca="1">IF($A58="","",INDEX(Base_Altas_Recibidas!$D$5:$D$104,$I58))</f>
        <v/>
      </c>
      <c r="E58" s="30" t="str">
        <f ca="1">IF($A58="","",INDEX(Base_Altas_Recibidas!$E$5:$E$104,$I58))</f>
        <v/>
      </c>
      <c r="F58" s="30" t="str">
        <f ca="1">IF($A58="","",INDEX(Base_Altas_Recibidas!$K$5:$K$104,$I58))</f>
        <v/>
      </c>
      <c r="G58" s="31" t="str">
        <f ca="1">IF($A58="","",IF($F58="RECHAZADO_DATOS_INCOMPLETOS","Campos obligatorios incompletos o fecha/prima inválida",IF($F58="RECHAZADO_ID_DUPLICADO","Identificador de solicitud duplicado: "&amp;$B58,IF($F58="RECHAZADO_PLAN_NO_CATALOGADO","El plan solicitado no existe en el catálogo PIMS: "&amp;INDEX(Base_Altas_Recibidas!$H$5:$H$104,$I58),IF($F58="RECHAZADO_ELEGIBILIDAD","Edad fuera del rango definido en catálogo (18-65 como supuesto del laboratorio): "&amp;INDEX(Base_Altas_Recibidas!$G$5:$G$104,$I58)&amp;" años",IF($F58="RECHAZADO_RUT_INVALIDO",IF(OR(NOT(ISNUMBER(FIND("-",TRIM($D58)))),LEN(INDEX(Base_Altas_Recibidas!$M$5:$M$104,$I58))&lt;8,LEN(INDEX(Base_Altas_Recibidas!$M$5:$M$104,$I58))&gt;9),"Formato de RUT incompleto o inválido","Dígito verificador Módulo 11 no coincide"),"Prima informada ($"&amp;INDEX(Base_Altas_Recibidas!$I$5:$I$104,$I58)&amp;") no coincide con tarifa oficial PIMS ($"&amp;INDEX(Base_Altas_Recibidas!$J$5:$J$104,$I58)&amp;")"))))))</f>
        <v/>
      </c>
      <c r="H58" s="31" t="str">
        <f t="shared" ca="1" si="1"/>
        <v/>
      </c>
      <c r="I58" s="32" t="str">
        <f ca="1">IF($A58="","",MATCH($A58,Base_Altas_Recibidas!$O$5:$O$104,0))</f>
        <v/>
      </c>
    </row>
    <row r="59" spans="1:9" ht="30" customHeight="1" x14ac:dyDescent="0.25">
      <c r="A59" s="33" t="str">
        <f ca="1">IF(ROWS($A$10:$A59)&lt;=$B$5,ROWS($A$10:$A59),"")</f>
        <v/>
      </c>
      <c r="B59" s="34" t="str">
        <f ca="1">IF($A59="","",INDEX(Base_Altas_Recibidas!$A$5:$A$104,$I59))</f>
        <v/>
      </c>
      <c r="C59" s="34" t="str">
        <f ca="1">IF($A59="","",INDEX(Base_Altas_Recibidas!$C$5:$C$104,$I59))</f>
        <v/>
      </c>
      <c r="D59" s="34" t="str">
        <f ca="1">IF($A59="","",INDEX(Base_Altas_Recibidas!$D$5:$D$104,$I59))</f>
        <v/>
      </c>
      <c r="E59" s="34" t="str">
        <f ca="1">IF($A59="","",INDEX(Base_Altas_Recibidas!$E$5:$E$104,$I59))</f>
        <v/>
      </c>
      <c r="F59" s="34" t="str">
        <f ca="1">IF($A59="","",INDEX(Base_Altas_Recibidas!$K$5:$K$104,$I59))</f>
        <v/>
      </c>
      <c r="G59" s="35" t="str">
        <f ca="1">IF($A59="","",IF($F59="RECHAZADO_DATOS_INCOMPLETOS","Campos obligatorios incompletos o fecha/prima inválida",IF($F59="RECHAZADO_ID_DUPLICADO","Identificador de solicitud duplicado: "&amp;$B59,IF($F59="RECHAZADO_PLAN_NO_CATALOGADO","El plan solicitado no existe en el catálogo PIMS: "&amp;INDEX(Base_Altas_Recibidas!$H$5:$H$104,$I59),IF($F59="RECHAZADO_ELEGIBILIDAD","Edad fuera del rango definido en catálogo (18-65 como supuesto del laboratorio): "&amp;INDEX(Base_Altas_Recibidas!$G$5:$G$104,$I59)&amp;" años",IF($F59="RECHAZADO_RUT_INVALIDO",IF(OR(NOT(ISNUMBER(FIND("-",TRIM($D59)))),LEN(INDEX(Base_Altas_Recibidas!$M$5:$M$104,$I59))&lt;8,LEN(INDEX(Base_Altas_Recibidas!$M$5:$M$104,$I59))&gt;9),"Formato de RUT incompleto o inválido","Dígito verificador Módulo 11 no coincide"),"Prima informada ($"&amp;INDEX(Base_Altas_Recibidas!$I$5:$I$104,$I59)&amp;") no coincide con tarifa oficial PIMS ($"&amp;INDEX(Base_Altas_Recibidas!$J$5:$J$104,$I59)&amp;")"))))))</f>
        <v/>
      </c>
      <c r="H59" s="35" t="str">
        <f t="shared" ca="1" si="1"/>
        <v/>
      </c>
      <c r="I59" s="36" t="str">
        <f ca="1">IF($A59="","",MATCH($A59,Base_Altas_Recibidas!$O$5:$O$104,0))</f>
        <v/>
      </c>
    </row>
    <row r="60" spans="1:9" ht="30" customHeight="1" x14ac:dyDescent="0.25">
      <c r="A60" s="29" t="str">
        <f ca="1">IF(ROWS($A$10:$A60)&lt;=$B$5,ROWS($A$10:$A60),"")</f>
        <v/>
      </c>
      <c r="B60" s="30" t="str">
        <f ca="1">IF($A60="","",INDEX(Base_Altas_Recibidas!$A$5:$A$104,$I60))</f>
        <v/>
      </c>
      <c r="C60" s="30" t="str">
        <f ca="1">IF($A60="","",INDEX(Base_Altas_Recibidas!$C$5:$C$104,$I60))</f>
        <v/>
      </c>
      <c r="D60" s="30" t="str">
        <f ca="1">IF($A60="","",INDEX(Base_Altas_Recibidas!$D$5:$D$104,$I60))</f>
        <v/>
      </c>
      <c r="E60" s="30" t="str">
        <f ca="1">IF($A60="","",INDEX(Base_Altas_Recibidas!$E$5:$E$104,$I60))</f>
        <v/>
      </c>
      <c r="F60" s="30" t="str">
        <f ca="1">IF($A60="","",INDEX(Base_Altas_Recibidas!$K$5:$K$104,$I60))</f>
        <v/>
      </c>
      <c r="G60" s="31" t="str">
        <f ca="1">IF($A60="","",IF($F60="RECHAZADO_DATOS_INCOMPLETOS","Campos obligatorios incompletos o fecha/prima inválida",IF($F60="RECHAZADO_ID_DUPLICADO","Identificador de solicitud duplicado: "&amp;$B60,IF($F60="RECHAZADO_PLAN_NO_CATALOGADO","El plan solicitado no existe en el catálogo PIMS: "&amp;INDEX(Base_Altas_Recibidas!$H$5:$H$104,$I60),IF($F60="RECHAZADO_ELEGIBILIDAD","Edad fuera del rango definido en catálogo (18-65 como supuesto del laboratorio): "&amp;INDEX(Base_Altas_Recibidas!$G$5:$G$104,$I60)&amp;" años",IF($F60="RECHAZADO_RUT_INVALIDO",IF(OR(NOT(ISNUMBER(FIND("-",TRIM($D60)))),LEN(INDEX(Base_Altas_Recibidas!$M$5:$M$104,$I60))&lt;8,LEN(INDEX(Base_Altas_Recibidas!$M$5:$M$104,$I60))&gt;9),"Formato de RUT incompleto o inválido","Dígito verificador Módulo 11 no coincide"),"Prima informada ($"&amp;INDEX(Base_Altas_Recibidas!$I$5:$I$104,$I60)&amp;") no coincide con tarifa oficial PIMS ($"&amp;INDEX(Base_Altas_Recibidas!$J$5:$J$104,$I60)&amp;")"))))))</f>
        <v/>
      </c>
      <c r="H60" s="31" t="str">
        <f t="shared" ca="1" si="1"/>
        <v/>
      </c>
      <c r="I60" s="32" t="str">
        <f ca="1">IF($A60="","",MATCH($A60,Base_Altas_Recibidas!$O$5:$O$104,0))</f>
        <v/>
      </c>
    </row>
    <row r="61" spans="1:9" ht="30" customHeight="1" x14ac:dyDescent="0.25">
      <c r="A61" s="33" t="str">
        <f ca="1">IF(ROWS($A$10:$A61)&lt;=$B$5,ROWS($A$10:$A61),"")</f>
        <v/>
      </c>
      <c r="B61" s="34" t="str">
        <f ca="1">IF($A61="","",INDEX(Base_Altas_Recibidas!$A$5:$A$104,$I61))</f>
        <v/>
      </c>
      <c r="C61" s="34" t="str">
        <f ca="1">IF($A61="","",INDEX(Base_Altas_Recibidas!$C$5:$C$104,$I61))</f>
        <v/>
      </c>
      <c r="D61" s="34" t="str">
        <f ca="1">IF($A61="","",INDEX(Base_Altas_Recibidas!$D$5:$D$104,$I61))</f>
        <v/>
      </c>
      <c r="E61" s="34" t="str">
        <f ca="1">IF($A61="","",INDEX(Base_Altas_Recibidas!$E$5:$E$104,$I61))</f>
        <v/>
      </c>
      <c r="F61" s="34" t="str">
        <f ca="1">IF($A61="","",INDEX(Base_Altas_Recibidas!$K$5:$K$104,$I61))</f>
        <v/>
      </c>
      <c r="G61" s="35" t="str">
        <f ca="1">IF($A61="","",IF($F61="RECHAZADO_DATOS_INCOMPLETOS","Campos obligatorios incompletos o fecha/prima inválida",IF($F61="RECHAZADO_ID_DUPLICADO","Identificador de solicitud duplicado: "&amp;$B61,IF($F61="RECHAZADO_PLAN_NO_CATALOGADO","El plan solicitado no existe en el catálogo PIMS: "&amp;INDEX(Base_Altas_Recibidas!$H$5:$H$104,$I61),IF($F61="RECHAZADO_ELEGIBILIDAD","Edad fuera del rango definido en catálogo (18-65 como supuesto del laboratorio): "&amp;INDEX(Base_Altas_Recibidas!$G$5:$G$104,$I61)&amp;" años",IF($F61="RECHAZADO_RUT_INVALIDO",IF(OR(NOT(ISNUMBER(FIND("-",TRIM($D61)))),LEN(INDEX(Base_Altas_Recibidas!$M$5:$M$104,$I61))&lt;8,LEN(INDEX(Base_Altas_Recibidas!$M$5:$M$104,$I61))&gt;9),"Formato de RUT incompleto o inválido","Dígito verificador Módulo 11 no coincide"),"Prima informada ($"&amp;INDEX(Base_Altas_Recibidas!$I$5:$I$104,$I61)&amp;") no coincide con tarifa oficial PIMS ($"&amp;INDEX(Base_Altas_Recibidas!$J$5:$J$104,$I61)&amp;")"))))))</f>
        <v/>
      </c>
      <c r="H61" s="35" t="str">
        <f t="shared" ca="1" si="1"/>
        <v/>
      </c>
      <c r="I61" s="36" t="str">
        <f ca="1">IF($A61="","",MATCH($A61,Base_Altas_Recibidas!$O$5:$O$104,0))</f>
        <v/>
      </c>
    </row>
    <row r="62" spans="1:9" ht="30" customHeight="1" x14ac:dyDescent="0.25">
      <c r="A62" s="29" t="str">
        <f ca="1">IF(ROWS($A$10:$A62)&lt;=$B$5,ROWS($A$10:$A62),"")</f>
        <v/>
      </c>
      <c r="B62" s="30" t="str">
        <f ca="1">IF($A62="","",INDEX(Base_Altas_Recibidas!$A$5:$A$104,$I62))</f>
        <v/>
      </c>
      <c r="C62" s="30" t="str">
        <f ca="1">IF($A62="","",INDEX(Base_Altas_Recibidas!$C$5:$C$104,$I62))</f>
        <v/>
      </c>
      <c r="D62" s="30" t="str">
        <f ca="1">IF($A62="","",INDEX(Base_Altas_Recibidas!$D$5:$D$104,$I62))</f>
        <v/>
      </c>
      <c r="E62" s="30" t="str">
        <f ca="1">IF($A62="","",INDEX(Base_Altas_Recibidas!$E$5:$E$104,$I62))</f>
        <v/>
      </c>
      <c r="F62" s="30" t="str">
        <f ca="1">IF($A62="","",INDEX(Base_Altas_Recibidas!$K$5:$K$104,$I62))</f>
        <v/>
      </c>
      <c r="G62" s="31" t="str">
        <f ca="1">IF($A62="","",IF($F62="RECHAZADO_DATOS_INCOMPLETOS","Campos obligatorios incompletos o fecha/prima inválida",IF($F62="RECHAZADO_ID_DUPLICADO","Identificador de solicitud duplicado: "&amp;$B62,IF($F62="RECHAZADO_PLAN_NO_CATALOGADO","El plan solicitado no existe en el catálogo PIMS: "&amp;INDEX(Base_Altas_Recibidas!$H$5:$H$104,$I62),IF($F62="RECHAZADO_ELEGIBILIDAD","Edad fuera del rango definido en catálogo (18-65 como supuesto del laboratorio): "&amp;INDEX(Base_Altas_Recibidas!$G$5:$G$104,$I62)&amp;" años",IF($F62="RECHAZADO_RUT_INVALIDO",IF(OR(NOT(ISNUMBER(FIND("-",TRIM($D62)))),LEN(INDEX(Base_Altas_Recibidas!$M$5:$M$104,$I62))&lt;8,LEN(INDEX(Base_Altas_Recibidas!$M$5:$M$104,$I62))&gt;9),"Formato de RUT incompleto o inválido","Dígito verificador Módulo 11 no coincide"),"Prima informada ($"&amp;INDEX(Base_Altas_Recibidas!$I$5:$I$104,$I62)&amp;") no coincide con tarifa oficial PIMS ($"&amp;INDEX(Base_Altas_Recibidas!$J$5:$J$104,$I62)&amp;")"))))))</f>
        <v/>
      </c>
      <c r="H62" s="31" t="str">
        <f t="shared" ca="1" si="1"/>
        <v/>
      </c>
      <c r="I62" s="32" t="str">
        <f ca="1">IF($A62="","",MATCH($A62,Base_Altas_Recibidas!$O$5:$O$104,0))</f>
        <v/>
      </c>
    </row>
    <row r="63" spans="1:9" ht="30" customHeight="1" x14ac:dyDescent="0.25">
      <c r="A63" s="33" t="str">
        <f ca="1">IF(ROWS($A$10:$A63)&lt;=$B$5,ROWS($A$10:$A63),"")</f>
        <v/>
      </c>
      <c r="B63" s="34" t="str">
        <f ca="1">IF($A63="","",INDEX(Base_Altas_Recibidas!$A$5:$A$104,$I63))</f>
        <v/>
      </c>
      <c r="C63" s="34" t="str">
        <f ca="1">IF($A63="","",INDEX(Base_Altas_Recibidas!$C$5:$C$104,$I63))</f>
        <v/>
      </c>
      <c r="D63" s="34" t="str">
        <f ca="1">IF($A63="","",INDEX(Base_Altas_Recibidas!$D$5:$D$104,$I63))</f>
        <v/>
      </c>
      <c r="E63" s="34" t="str">
        <f ca="1">IF($A63="","",INDEX(Base_Altas_Recibidas!$E$5:$E$104,$I63))</f>
        <v/>
      </c>
      <c r="F63" s="34" t="str">
        <f ca="1">IF($A63="","",INDEX(Base_Altas_Recibidas!$K$5:$K$104,$I63))</f>
        <v/>
      </c>
      <c r="G63" s="35" t="str">
        <f ca="1">IF($A63="","",IF($F63="RECHAZADO_DATOS_INCOMPLETOS","Campos obligatorios incompletos o fecha/prima inválida",IF($F63="RECHAZADO_ID_DUPLICADO","Identificador de solicitud duplicado: "&amp;$B63,IF($F63="RECHAZADO_PLAN_NO_CATALOGADO","El plan solicitado no existe en el catálogo PIMS: "&amp;INDEX(Base_Altas_Recibidas!$H$5:$H$104,$I63),IF($F63="RECHAZADO_ELEGIBILIDAD","Edad fuera del rango definido en catálogo (18-65 como supuesto del laboratorio): "&amp;INDEX(Base_Altas_Recibidas!$G$5:$G$104,$I63)&amp;" años",IF($F63="RECHAZADO_RUT_INVALIDO",IF(OR(NOT(ISNUMBER(FIND("-",TRIM($D63)))),LEN(INDEX(Base_Altas_Recibidas!$M$5:$M$104,$I63))&lt;8,LEN(INDEX(Base_Altas_Recibidas!$M$5:$M$104,$I63))&gt;9),"Formato de RUT incompleto o inválido","Dígito verificador Módulo 11 no coincide"),"Prima informada ($"&amp;INDEX(Base_Altas_Recibidas!$I$5:$I$104,$I63)&amp;") no coincide con tarifa oficial PIMS ($"&amp;INDEX(Base_Altas_Recibidas!$J$5:$J$104,$I63)&amp;")"))))))</f>
        <v/>
      </c>
      <c r="H63" s="35" t="str">
        <f t="shared" ca="1" si="1"/>
        <v/>
      </c>
      <c r="I63" s="36" t="str">
        <f ca="1">IF($A63="","",MATCH($A63,Base_Altas_Recibidas!$O$5:$O$104,0))</f>
        <v/>
      </c>
    </row>
    <row r="64" spans="1:9" ht="30" customHeight="1" x14ac:dyDescent="0.25">
      <c r="A64" s="29" t="str">
        <f ca="1">IF(ROWS($A$10:$A64)&lt;=$B$5,ROWS($A$10:$A64),"")</f>
        <v/>
      </c>
      <c r="B64" s="30" t="str">
        <f ca="1">IF($A64="","",INDEX(Base_Altas_Recibidas!$A$5:$A$104,$I64))</f>
        <v/>
      </c>
      <c r="C64" s="30" t="str">
        <f ca="1">IF($A64="","",INDEX(Base_Altas_Recibidas!$C$5:$C$104,$I64))</f>
        <v/>
      </c>
      <c r="D64" s="30" t="str">
        <f ca="1">IF($A64="","",INDEX(Base_Altas_Recibidas!$D$5:$D$104,$I64))</f>
        <v/>
      </c>
      <c r="E64" s="30" t="str">
        <f ca="1">IF($A64="","",INDEX(Base_Altas_Recibidas!$E$5:$E$104,$I64))</f>
        <v/>
      </c>
      <c r="F64" s="30" t="str">
        <f ca="1">IF($A64="","",INDEX(Base_Altas_Recibidas!$K$5:$K$104,$I64))</f>
        <v/>
      </c>
      <c r="G64" s="31" t="str">
        <f ca="1">IF($A64="","",IF($F64="RECHAZADO_DATOS_INCOMPLETOS","Campos obligatorios incompletos o fecha/prima inválida",IF($F64="RECHAZADO_ID_DUPLICADO","Identificador de solicitud duplicado: "&amp;$B64,IF($F64="RECHAZADO_PLAN_NO_CATALOGADO","El plan solicitado no existe en el catálogo PIMS: "&amp;INDEX(Base_Altas_Recibidas!$H$5:$H$104,$I64),IF($F64="RECHAZADO_ELEGIBILIDAD","Edad fuera del rango definido en catálogo (18-65 como supuesto del laboratorio): "&amp;INDEX(Base_Altas_Recibidas!$G$5:$G$104,$I64)&amp;" años",IF($F64="RECHAZADO_RUT_INVALIDO",IF(OR(NOT(ISNUMBER(FIND("-",TRIM($D64)))),LEN(INDEX(Base_Altas_Recibidas!$M$5:$M$104,$I64))&lt;8,LEN(INDEX(Base_Altas_Recibidas!$M$5:$M$104,$I64))&gt;9),"Formato de RUT incompleto o inválido","Dígito verificador Módulo 11 no coincide"),"Prima informada ($"&amp;INDEX(Base_Altas_Recibidas!$I$5:$I$104,$I64)&amp;") no coincide con tarifa oficial PIMS ($"&amp;INDEX(Base_Altas_Recibidas!$J$5:$J$104,$I64)&amp;")"))))))</f>
        <v/>
      </c>
      <c r="H64" s="31" t="str">
        <f t="shared" ca="1" si="1"/>
        <v/>
      </c>
      <c r="I64" s="32" t="str">
        <f ca="1">IF($A64="","",MATCH($A64,Base_Altas_Recibidas!$O$5:$O$104,0))</f>
        <v/>
      </c>
    </row>
    <row r="65" spans="1:9" ht="30" customHeight="1" x14ac:dyDescent="0.25">
      <c r="A65" s="33" t="str">
        <f ca="1">IF(ROWS($A$10:$A65)&lt;=$B$5,ROWS($A$10:$A65),"")</f>
        <v/>
      </c>
      <c r="B65" s="34" t="str">
        <f ca="1">IF($A65="","",INDEX(Base_Altas_Recibidas!$A$5:$A$104,$I65))</f>
        <v/>
      </c>
      <c r="C65" s="34" t="str">
        <f ca="1">IF($A65="","",INDEX(Base_Altas_Recibidas!$C$5:$C$104,$I65))</f>
        <v/>
      </c>
      <c r="D65" s="34" t="str">
        <f ca="1">IF($A65="","",INDEX(Base_Altas_Recibidas!$D$5:$D$104,$I65))</f>
        <v/>
      </c>
      <c r="E65" s="34" t="str">
        <f ca="1">IF($A65="","",INDEX(Base_Altas_Recibidas!$E$5:$E$104,$I65))</f>
        <v/>
      </c>
      <c r="F65" s="34" t="str">
        <f ca="1">IF($A65="","",INDEX(Base_Altas_Recibidas!$K$5:$K$104,$I65))</f>
        <v/>
      </c>
      <c r="G65" s="35" t="str">
        <f ca="1">IF($A65="","",IF($F65="RECHAZADO_DATOS_INCOMPLETOS","Campos obligatorios incompletos o fecha/prima inválida",IF($F65="RECHAZADO_ID_DUPLICADO","Identificador de solicitud duplicado: "&amp;$B65,IF($F65="RECHAZADO_PLAN_NO_CATALOGADO","El plan solicitado no existe en el catálogo PIMS: "&amp;INDEX(Base_Altas_Recibidas!$H$5:$H$104,$I65),IF($F65="RECHAZADO_ELEGIBILIDAD","Edad fuera del rango definido en catálogo (18-65 como supuesto del laboratorio): "&amp;INDEX(Base_Altas_Recibidas!$G$5:$G$104,$I65)&amp;" años",IF($F65="RECHAZADO_RUT_INVALIDO",IF(OR(NOT(ISNUMBER(FIND("-",TRIM($D65)))),LEN(INDEX(Base_Altas_Recibidas!$M$5:$M$104,$I65))&lt;8,LEN(INDEX(Base_Altas_Recibidas!$M$5:$M$104,$I65))&gt;9),"Formato de RUT incompleto o inválido","Dígito verificador Módulo 11 no coincide"),"Prima informada ($"&amp;INDEX(Base_Altas_Recibidas!$I$5:$I$104,$I65)&amp;") no coincide con tarifa oficial PIMS ($"&amp;INDEX(Base_Altas_Recibidas!$J$5:$J$104,$I65)&amp;")"))))))</f>
        <v/>
      </c>
      <c r="H65" s="35" t="str">
        <f t="shared" ca="1" si="1"/>
        <v/>
      </c>
      <c r="I65" s="36" t="str">
        <f ca="1">IF($A65="","",MATCH($A65,Base_Altas_Recibidas!$O$5:$O$104,0))</f>
        <v/>
      </c>
    </row>
    <row r="66" spans="1:9" ht="30" customHeight="1" x14ac:dyDescent="0.25">
      <c r="A66" s="29" t="str">
        <f ca="1">IF(ROWS($A$10:$A66)&lt;=$B$5,ROWS($A$10:$A66),"")</f>
        <v/>
      </c>
      <c r="B66" s="30" t="str">
        <f ca="1">IF($A66="","",INDEX(Base_Altas_Recibidas!$A$5:$A$104,$I66))</f>
        <v/>
      </c>
      <c r="C66" s="30" t="str">
        <f ca="1">IF($A66="","",INDEX(Base_Altas_Recibidas!$C$5:$C$104,$I66))</f>
        <v/>
      </c>
      <c r="D66" s="30" t="str">
        <f ca="1">IF($A66="","",INDEX(Base_Altas_Recibidas!$D$5:$D$104,$I66))</f>
        <v/>
      </c>
      <c r="E66" s="30" t="str">
        <f ca="1">IF($A66="","",INDEX(Base_Altas_Recibidas!$E$5:$E$104,$I66))</f>
        <v/>
      </c>
      <c r="F66" s="30" t="str">
        <f ca="1">IF($A66="","",INDEX(Base_Altas_Recibidas!$K$5:$K$104,$I66))</f>
        <v/>
      </c>
      <c r="G66" s="31" t="str">
        <f ca="1">IF($A66="","",IF($F66="RECHAZADO_DATOS_INCOMPLETOS","Campos obligatorios incompletos o fecha/prima inválida",IF($F66="RECHAZADO_ID_DUPLICADO","Identificador de solicitud duplicado: "&amp;$B66,IF($F66="RECHAZADO_PLAN_NO_CATALOGADO","El plan solicitado no existe en el catálogo PIMS: "&amp;INDEX(Base_Altas_Recibidas!$H$5:$H$104,$I66),IF($F66="RECHAZADO_ELEGIBILIDAD","Edad fuera del rango definido en catálogo (18-65 como supuesto del laboratorio): "&amp;INDEX(Base_Altas_Recibidas!$G$5:$G$104,$I66)&amp;" años",IF($F66="RECHAZADO_RUT_INVALIDO",IF(OR(NOT(ISNUMBER(FIND("-",TRIM($D66)))),LEN(INDEX(Base_Altas_Recibidas!$M$5:$M$104,$I66))&lt;8,LEN(INDEX(Base_Altas_Recibidas!$M$5:$M$104,$I66))&gt;9),"Formato de RUT incompleto o inválido","Dígito verificador Módulo 11 no coincide"),"Prima informada ($"&amp;INDEX(Base_Altas_Recibidas!$I$5:$I$104,$I66)&amp;") no coincide con tarifa oficial PIMS ($"&amp;INDEX(Base_Altas_Recibidas!$J$5:$J$104,$I66)&amp;")"))))))</f>
        <v/>
      </c>
      <c r="H66" s="31" t="str">
        <f t="shared" ca="1" si="1"/>
        <v/>
      </c>
      <c r="I66" s="32" t="str">
        <f ca="1">IF($A66="","",MATCH($A66,Base_Altas_Recibidas!$O$5:$O$104,0))</f>
        <v/>
      </c>
    </row>
    <row r="67" spans="1:9" ht="30" customHeight="1" x14ac:dyDescent="0.25">
      <c r="A67" s="33" t="str">
        <f ca="1">IF(ROWS($A$10:$A67)&lt;=$B$5,ROWS($A$10:$A67),"")</f>
        <v/>
      </c>
      <c r="B67" s="34" t="str">
        <f ca="1">IF($A67="","",INDEX(Base_Altas_Recibidas!$A$5:$A$104,$I67))</f>
        <v/>
      </c>
      <c r="C67" s="34" t="str">
        <f ca="1">IF($A67="","",INDEX(Base_Altas_Recibidas!$C$5:$C$104,$I67))</f>
        <v/>
      </c>
      <c r="D67" s="34" t="str">
        <f ca="1">IF($A67="","",INDEX(Base_Altas_Recibidas!$D$5:$D$104,$I67))</f>
        <v/>
      </c>
      <c r="E67" s="34" t="str">
        <f ca="1">IF($A67="","",INDEX(Base_Altas_Recibidas!$E$5:$E$104,$I67))</f>
        <v/>
      </c>
      <c r="F67" s="34" t="str">
        <f ca="1">IF($A67="","",INDEX(Base_Altas_Recibidas!$K$5:$K$104,$I67))</f>
        <v/>
      </c>
      <c r="G67" s="35" t="str">
        <f ca="1">IF($A67="","",IF($F67="RECHAZADO_DATOS_INCOMPLETOS","Campos obligatorios incompletos o fecha/prima inválida",IF($F67="RECHAZADO_ID_DUPLICADO","Identificador de solicitud duplicado: "&amp;$B67,IF($F67="RECHAZADO_PLAN_NO_CATALOGADO","El plan solicitado no existe en el catálogo PIMS: "&amp;INDEX(Base_Altas_Recibidas!$H$5:$H$104,$I67),IF($F67="RECHAZADO_ELEGIBILIDAD","Edad fuera del rango definido en catálogo (18-65 como supuesto del laboratorio): "&amp;INDEX(Base_Altas_Recibidas!$G$5:$G$104,$I67)&amp;" años",IF($F67="RECHAZADO_RUT_INVALIDO",IF(OR(NOT(ISNUMBER(FIND("-",TRIM($D67)))),LEN(INDEX(Base_Altas_Recibidas!$M$5:$M$104,$I67))&lt;8,LEN(INDEX(Base_Altas_Recibidas!$M$5:$M$104,$I67))&gt;9),"Formato de RUT incompleto o inválido","Dígito verificador Módulo 11 no coincide"),"Prima informada ($"&amp;INDEX(Base_Altas_Recibidas!$I$5:$I$104,$I67)&amp;") no coincide con tarifa oficial PIMS ($"&amp;INDEX(Base_Altas_Recibidas!$J$5:$J$104,$I67)&amp;")"))))))</f>
        <v/>
      </c>
      <c r="H67" s="35" t="str">
        <f t="shared" ca="1" si="1"/>
        <v/>
      </c>
      <c r="I67" s="36" t="str">
        <f ca="1">IF($A67="","",MATCH($A67,Base_Altas_Recibidas!$O$5:$O$104,0))</f>
        <v/>
      </c>
    </row>
    <row r="68" spans="1:9" ht="30" customHeight="1" x14ac:dyDescent="0.25">
      <c r="A68" s="29" t="str">
        <f ca="1">IF(ROWS($A$10:$A68)&lt;=$B$5,ROWS($A$10:$A68),"")</f>
        <v/>
      </c>
      <c r="B68" s="30" t="str">
        <f ca="1">IF($A68="","",INDEX(Base_Altas_Recibidas!$A$5:$A$104,$I68))</f>
        <v/>
      </c>
      <c r="C68" s="30" t="str">
        <f ca="1">IF($A68="","",INDEX(Base_Altas_Recibidas!$C$5:$C$104,$I68))</f>
        <v/>
      </c>
      <c r="D68" s="30" t="str">
        <f ca="1">IF($A68="","",INDEX(Base_Altas_Recibidas!$D$5:$D$104,$I68))</f>
        <v/>
      </c>
      <c r="E68" s="30" t="str">
        <f ca="1">IF($A68="","",INDEX(Base_Altas_Recibidas!$E$5:$E$104,$I68))</f>
        <v/>
      </c>
      <c r="F68" s="30" t="str">
        <f ca="1">IF($A68="","",INDEX(Base_Altas_Recibidas!$K$5:$K$104,$I68))</f>
        <v/>
      </c>
      <c r="G68" s="31" t="str">
        <f ca="1">IF($A68="","",IF($F68="RECHAZADO_DATOS_INCOMPLETOS","Campos obligatorios incompletos o fecha/prima inválida",IF($F68="RECHAZADO_ID_DUPLICADO","Identificador de solicitud duplicado: "&amp;$B68,IF($F68="RECHAZADO_PLAN_NO_CATALOGADO","El plan solicitado no existe en el catálogo PIMS: "&amp;INDEX(Base_Altas_Recibidas!$H$5:$H$104,$I68),IF($F68="RECHAZADO_ELEGIBILIDAD","Edad fuera del rango definido en catálogo (18-65 como supuesto del laboratorio): "&amp;INDEX(Base_Altas_Recibidas!$G$5:$G$104,$I68)&amp;" años",IF($F68="RECHAZADO_RUT_INVALIDO",IF(OR(NOT(ISNUMBER(FIND("-",TRIM($D68)))),LEN(INDEX(Base_Altas_Recibidas!$M$5:$M$104,$I68))&lt;8,LEN(INDEX(Base_Altas_Recibidas!$M$5:$M$104,$I68))&gt;9),"Formato de RUT incompleto o inválido","Dígito verificador Módulo 11 no coincide"),"Prima informada ($"&amp;INDEX(Base_Altas_Recibidas!$I$5:$I$104,$I68)&amp;") no coincide con tarifa oficial PIMS ($"&amp;INDEX(Base_Altas_Recibidas!$J$5:$J$104,$I68)&amp;")"))))))</f>
        <v/>
      </c>
      <c r="H68" s="31" t="str">
        <f t="shared" ca="1" si="1"/>
        <v/>
      </c>
      <c r="I68" s="32" t="str">
        <f ca="1">IF($A68="","",MATCH($A68,Base_Altas_Recibidas!$O$5:$O$104,0))</f>
        <v/>
      </c>
    </row>
    <row r="69" spans="1:9" x14ac:dyDescent="0.25">
      <c r="A69" s="33" t="str">
        <f ca="1">IF(ROWS($A$10:$A69)&lt;=$B$5,ROWS($A$10:$A69),"")</f>
        <v/>
      </c>
      <c r="B69" s="34" t="str">
        <f ca="1">IF($A69="","",INDEX(Base_Altas_Recibidas!$A$5:$A$104,$I69))</f>
        <v/>
      </c>
      <c r="C69" s="34" t="str">
        <f ca="1">IF($A69="","",INDEX(Base_Altas_Recibidas!$C$5:$C$104,$I69))</f>
        <v/>
      </c>
      <c r="D69" s="34" t="str">
        <f ca="1">IF($A69="","",INDEX(Base_Altas_Recibidas!$D$5:$D$104,$I69))</f>
        <v/>
      </c>
      <c r="E69" s="34" t="str">
        <f ca="1">IF($A69="","",INDEX(Base_Altas_Recibidas!$E$5:$E$104,$I69))</f>
        <v/>
      </c>
      <c r="F69" s="34" t="str">
        <f ca="1">IF($A69="","",INDEX(Base_Altas_Recibidas!$K$5:$K$104,$I69))</f>
        <v/>
      </c>
      <c r="G69" s="35" t="str">
        <f ca="1">IF($A69="","",IF($F69="RECHAZADO_DATOS_INCOMPLETOS","Campos obligatorios incompletos o fecha/prima inválida",IF($F69="RECHAZADO_ID_DUPLICADO","Identificador de solicitud duplicado: "&amp;$B69,IF($F69="RECHAZADO_PLAN_NO_CATALOGADO","El plan solicitado no existe en el catálogo PIMS: "&amp;INDEX(Base_Altas_Recibidas!$H$5:$H$104,$I69),IF($F69="RECHAZADO_ELEGIBILIDAD","Edad fuera del rango definido en catálogo (18-65 como supuesto del laboratorio): "&amp;INDEX(Base_Altas_Recibidas!$G$5:$G$104,$I69)&amp;" años",IF($F69="RECHAZADO_RUT_INVALIDO",IF(OR(NOT(ISNUMBER(FIND("-",TRIM($D69)))),LEN(INDEX(Base_Altas_Recibidas!$M$5:$M$104,$I69))&lt;8,LEN(INDEX(Base_Altas_Recibidas!$M$5:$M$104,$I69))&gt;9),"Formato de RUT incompleto o inválido","Dígito verificador Módulo 11 no coincide"),"Prima informada ($"&amp;INDEX(Base_Altas_Recibidas!$I$5:$I$104,$I69)&amp;") no coincide con tarifa oficial PIMS ($"&amp;INDEX(Base_Altas_Recibidas!$J$5:$J$104,$I69)&amp;")"))))))</f>
        <v/>
      </c>
      <c r="H69" s="35" t="str">
        <f t="shared" ca="1" si="1"/>
        <v/>
      </c>
      <c r="I69" s="36" t="str">
        <f ca="1">IF($A69="","",MATCH($A69,Base_Altas_Recibidas!$O$5:$O$104,0))</f>
        <v/>
      </c>
    </row>
    <row r="70" spans="1:9" ht="15" customHeight="1" x14ac:dyDescent="0.25">
      <c r="A70" s="29" t="str">
        <f ca="1">IF(ROWS($A$10:$A70)&lt;=$B$5,ROWS($A$10:$A70),"")</f>
        <v/>
      </c>
      <c r="B70" s="30" t="str">
        <f ca="1">IF($A70="","",INDEX(Base_Altas_Recibidas!$A$5:$A$104,$I70))</f>
        <v/>
      </c>
      <c r="C70" s="30" t="str">
        <f ca="1">IF($A70="","",INDEX(Base_Altas_Recibidas!$C$5:$C$104,$I70))</f>
        <v/>
      </c>
      <c r="D70" s="30" t="str">
        <f ca="1">IF($A70="","",INDEX(Base_Altas_Recibidas!$D$5:$D$104,$I70))</f>
        <v/>
      </c>
      <c r="E70" s="30" t="str">
        <f ca="1">IF($A70="","",INDEX(Base_Altas_Recibidas!$E$5:$E$104,$I70))</f>
        <v/>
      </c>
      <c r="F70" s="30" t="str">
        <f ca="1">IF($A70="","",INDEX(Base_Altas_Recibidas!$K$5:$K$104,$I70))</f>
        <v/>
      </c>
      <c r="G70" s="31" t="str">
        <f ca="1">IF($A70="","",IF($F70="RECHAZADO_DATOS_INCOMPLETOS","Campos obligatorios incompletos o fecha/prima inválida",IF($F70="RECHAZADO_ID_DUPLICADO","Identificador de solicitud duplicado: "&amp;$B70,IF($F70="RECHAZADO_PLAN_NO_CATALOGADO","El plan solicitado no existe en el catálogo PIMS: "&amp;INDEX(Base_Altas_Recibidas!$H$5:$H$104,$I70),IF($F70="RECHAZADO_ELEGIBILIDAD","Edad fuera del rango definido en catálogo (18-65 como supuesto del laboratorio): "&amp;INDEX(Base_Altas_Recibidas!$G$5:$G$104,$I70)&amp;" años",IF($F70="RECHAZADO_RUT_INVALIDO",IF(OR(NOT(ISNUMBER(FIND("-",TRIM($D70)))),LEN(INDEX(Base_Altas_Recibidas!$M$5:$M$104,$I70))&lt;8,LEN(INDEX(Base_Altas_Recibidas!$M$5:$M$104,$I70))&gt;9),"Formato de RUT incompleto o inválido","Dígito verificador Módulo 11 no coincide"),"Prima informada ($"&amp;INDEX(Base_Altas_Recibidas!$I$5:$I$104,$I70)&amp;") no coincide con tarifa oficial PIMS ($"&amp;INDEX(Base_Altas_Recibidas!$J$5:$J$104,$I70)&amp;")"))))))</f>
        <v/>
      </c>
      <c r="H70" s="31" t="str">
        <f t="shared" ca="1" si="1"/>
        <v/>
      </c>
      <c r="I70" s="32" t="str">
        <f ca="1">IF($A70="","",MATCH($A70,Base_Altas_Recibidas!$O$5:$O$104,0))</f>
        <v/>
      </c>
    </row>
    <row r="71" spans="1:9" x14ac:dyDescent="0.25">
      <c r="A71" s="33" t="str">
        <f ca="1">IF(ROWS($A$10:$A71)&lt;=$B$5,ROWS($A$10:$A71),"")</f>
        <v/>
      </c>
      <c r="B71" s="34" t="str">
        <f ca="1">IF($A71="","",INDEX(Base_Altas_Recibidas!$A$5:$A$104,$I71))</f>
        <v/>
      </c>
      <c r="C71" s="34" t="str">
        <f ca="1">IF($A71="","",INDEX(Base_Altas_Recibidas!$C$5:$C$104,$I71))</f>
        <v/>
      </c>
      <c r="D71" s="34" t="str">
        <f ca="1">IF($A71="","",INDEX(Base_Altas_Recibidas!$D$5:$D$104,$I71))</f>
        <v/>
      </c>
      <c r="E71" s="34" t="str">
        <f ca="1">IF($A71="","",INDEX(Base_Altas_Recibidas!$E$5:$E$104,$I71))</f>
        <v/>
      </c>
      <c r="F71" s="34" t="str">
        <f ca="1">IF($A71="","",INDEX(Base_Altas_Recibidas!$K$5:$K$104,$I71))</f>
        <v/>
      </c>
      <c r="G71" s="35" t="str">
        <f ca="1">IF($A71="","",IF($F71="RECHAZADO_DATOS_INCOMPLETOS","Campos obligatorios incompletos o fecha/prima inválida",IF($F71="RECHAZADO_ID_DUPLICADO","Identificador de solicitud duplicado: "&amp;$B71,IF($F71="RECHAZADO_PLAN_NO_CATALOGADO","El plan solicitado no existe en el catálogo PIMS: "&amp;INDEX(Base_Altas_Recibidas!$H$5:$H$104,$I71),IF($F71="RECHAZADO_ELEGIBILIDAD","Edad fuera del rango definido en catálogo (18-65 como supuesto del laboratorio): "&amp;INDEX(Base_Altas_Recibidas!$G$5:$G$104,$I71)&amp;" años",IF($F71="RECHAZADO_RUT_INVALIDO",IF(OR(NOT(ISNUMBER(FIND("-",TRIM($D71)))),LEN(INDEX(Base_Altas_Recibidas!$M$5:$M$104,$I71))&lt;8,LEN(INDEX(Base_Altas_Recibidas!$M$5:$M$104,$I71))&gt;9),"Formato de RUT incompleto o inválido","Dígito verificador Módulo 11 no coincide"),"Prima informada ($"&amp;INDEX(Base_Altas_Recibidas!$I$5:$I$104,$I71)&amp;") no coincide con tarifa oficial PIMS ($"&amp;INDEX(Base_Altas_Recibidas!$J$5:$J$104,$I71)&amp;")"))))))</f>
        <v/>
      </c>
      <c r="H71" s="35" t="str">
        <f t="shared" ca="1" si="1"/>
        <v/>
      </c>
      <c r="I71" s="36" t="str">
        <f ca="1">IF($A71="","",MATCH($A71,Base_Altas_Recibidas!$O$5:$O$104,0))</f>
        <v/>
      </c>
    </row>
    <row r="72" spans="1:9" x14ac:dyDescent="0.25">
      <c r="A72" s="29" t="str">
        <f ca="1">IF(ROWS($A$10:$A72)&lt;=$B$5,ROWS($A$10:$A72),"")</f>
        <v/>
      </c>
      <c r="B72" s="30" t="str">
        <f ca="1">IF($A72="","",INDEX(Base_Altas_Recibidas!$A$5:$A$104,$I72))</f>
        <v/>
      </c>
      <c r="C72" s="30" t="str">
        <f ca="1">IF($A72="","",INDEX(Base_Altas_Recibidas!$C$5:$C$104,$I72))</f>
        <v/>
      </c>
      <c r="D72" s="30" t="str">
        <f ca="1">IF($A72="","",INDEX(Base_Altas_Recibidas!$D$5:$D$104,$I72))</f>
        <v/>
      </c>
      <c r="E72" s="30" t="str">
        <f ca="1">IF($A72="","",INDEX(Base_Altas_Recibidas!$E$5:$E$104,$I72))</f>
        <v/>
      </c>
      <c r="F72" s="30" t="str">
        <f ca="1">IF($A72="","",INDEX(Base_Altas_Recibidas!$K$5:$K$104,$I72))</f>
        <v/>
      </c>
      <c r="G72" s="31" t="str">
        <f ca="1">IF($A72="","",IF($F72="RECHAZADO_DATOS_INCOMPLETOS","Campos obligatorios incompletos o fecha/prima inválida",IF($F72="RECHAZADO_ID_DUPLICADO","Identificador de solicitud duplicado: "&amp;$B72,IF($F72="RECHAZADO_PLAN_NO_CATALOGADO","El plan solicitado no existe en el catálogo PIMS: "&amp;INDEX(Base_Altas_Recibidas!$H$5:$H$104,$I72),IF($F72="RECHAZADO_ELEGIBILIDAD","Edad fuera del rango definido en catálogo (18-65 como supuesto del laboratorio): "&amp;INDEX(Base_Altas_Recibidas!$G$5:$G$104,$I72)&amp;" años",IF($F72="RECHAZADO_RUT_INVALIDO",IF(OR(NOT(ISNUMBER(FIND("-",TRIM($D72)))),LEN(INDEX(Base_Altas_Recibidas!$M$5:$M$104,$I72))&lt;8,LEN(INDEX(Base_Altas_Recibidas!$M$5:$M$104,$I72))&gt;9),"Formato de RUT incompleto o inválido","Dígito verificador Módulo 11 no coincide"),"Prima informada ($"&amp;INDEX(Base_Altas_Recibidas!$I$5:$I$104,$I72)&amp;") no coincide con tarifa oficial PIMS ($"&amp;INDEX(Base_Altas_Recibidas!$J$5:$J$104,$I72)&amp;")"))))))</f>
        <v/>
      </c>
      <c r="H72" s="31" t="str">
        <f t="shared" ca="1" si="1"/>
        <v/>
      </c>
      <c r="I72" s="32" t="str">
        <f ca="1">IF($A72="","",MATCH($A72,Base_Altas_Recibidas!$O$5:$O$104,0))</f>
        <v/>
      </c>
    </row>
    <row r="73" spans="1:9" x14ac:dyDescent="0.25">
      <c r="A73" s="33" t="str">
        <f ca="1">IF(ROWS($A$10:$A73)&lt;=$B$5,ROWS($A$10:$A73),"")</f>
        <v/>
      </c>
      <c r="B73" s="34" t="str">
        <f ca="1">IF($A73="","",INDEX(Base_Altas_Recibidas!$A$5:$A$104,$I73))</f>
        <v/>
      </c>
      <c r="C73" s="34" t="str">
        <f ca="1">IF($A73="","",INDEX(Base_Altas_Recibidas!$C$5:$C$104,$I73))</f>
        <v/>
      </c>
      <c r="D73" s="34" t="str">
        <f ca="1">IF($A73="","",INDEX(Base_Altas_Recibidas!$D$5:$D$104,$I73))</f>
        <v/>
      </c>
      <c r="E73" s="34" t="str">
        <f ca="1">IF($A73="","",INDEX(Base_Altas_Recibidas!$E$5:$E$104,$I73))</f>
        <v/>
      </c>
      <c r="F73" s="34" t="str">
        <f ca="1">IF($A73="","",INDEX(Base_Altas_Recibidas!$K$5:$K$104,$I73))</f>
        <v/>
      </c>
      <c r="G73" s="35" t="str">
        <f ca="1">IF($A73="","",IF($F73="RECHAZADO_DATOS_INCOMPLETOS","Campos obligatorios incompletos o fecha/prima inválida",IF($F73="RECHAZADO_ID_DUPLICADO","Identificador de solicitud duplicado: "&amp;$B73,IF($F73="RECHAZADO_PLAN_NO_CATALOGADO","El plan solicitado no existe en el catálogo PIMS: "&amp;INDEX(Base_Altas_Recibidas!$H$5:$H$104,$I73),IF($F73="RECHAZADO_ELEGIBILIDAD","Edad fuera del rango definido en catálogo (18-65 como supuesto del laboratorio): "&amp;INDEX(Base_Altas_Recibidas!$G$5:$G$104,$I73)&amp;" años",IF($F73="RECHAZADO_RUT_INVALIDO",IF(OR(NOT(ISNUMBER(FIND("-",TRIM($D73)))),LEN(INDEX(Base_Altas_Recibidas!$M$5:$M$104,$I73))&lt;8,LEN(INDEX(Base_Altas_Recibidas!$M$5:$M$104,$I73))&gt;9),"Formato de RUT incompleto o inválido","Dígito verificador Módulo 11 no coincide"),"Prima informada ($"&amp;INDEX(Base_Altas_Recibidas!$I$5:$I$104,$I73)&amp;") no coincide con tarifa oficial PIMS ($"&amp;INDEX(Base_Altas_Recibidas!$J$5:$J$104,$I73)&amp;")"))))))</f>
        <v/>
      </c>
      <c r="H73" s="35" t="str">
        <f t="shared" ca="1" si="1"/>
        <v/>
      </c>
      <c r="I73" s="36" t="str">
        <f ca="1">IF($A73="","",MATCH($A73,Base_Altas_Recibidas!$O$5:$O$104,0))</f>
        <v/>
      </c>
    </row>
    <row r="74" spans="1:9" x14ac:dyDescent="0.25">
      <c r="A74" s="29" t="str">
        <f ca="1">IF(ROWS($A$10:$A74)&lt;=$B$5,ROWS($A$10:$A74),"")</f>
        <v/>
      </c>
      <c r="B74" s="30" t="str">
        <f ca="1">IF($A74="","",INDEX(Base_Altas_Recibidas!$A$5:$A$104,$I74))</f>
        <v/>
      </c>
      <c r="C74" s="30" t="str">
        <f ca="1">IF($A74="","",INDEX(Base_Altas_Recibidas!$C$5:$C$104,$I74))</f>
        <v/>
      </c>
      <c r="D74" s="30" t="str">
        <f ca="1">IF($A74="","",INDEX(Base_Altas_Recibidas!$D$5:$D$104,$I74))</f>
        <v/>
      </c>
      <c r="E74" s="30" t="str">
        <f ca="1">IF($A74="","",INDEX(Base_Altas_Recibidas!$E$5:$E$104,$I74))</f>
        <v/>
      </c>
      <c r="F74" s="30" t="str">
        <f ca="1">IF($A74="","",INDEX(Base_Altas_Recibidas!$K$5:$K$104,$I74))</f>
        <v/>
      </c>
      <c r="G74" s="31" t="str">
        <f ca="1">IF($A74="","",IF($F74="RECHAZADO_DATOS_INCOMPLETOS","Campos obligatorios incompletos o fecha/prima inválida",IF($F74="RECHAZADO_ID_DUPLICADO","Identificador de solicitud duplicado: "&amp;$B74,IF($F74="RECHAZADO_PLAN_NO_CATALOGADO","El plan solicitado no existe en el catálogo PIMS: "&amp;INDEX(Base_Altas_Recibidas!$H$5:$H$104,$I74),IF($F74="RECHAZADO_ELEGIBILIDAD","Edad fuera del rango definido en catálogo (18-65 como supuesto del laboratorio): "&amp;INDEX(Base_Altas_Recibidas!$G$5:$G$104,$I74)&amp;" años",IF($F74="RECHAZADO_RUT_INVALIDO",IF(OR(NOT(ISNUMBER(FIND("-",TRIM($D74)))),LEN(INDEX(Base_Altas_Recibidas!$M$5:$M$104,$I74))&lt;8,LEN(INDEX(Base_Altas_Recibidas!$M$5:$M$104,$I74))&gt;9),"Formato de RUT incompleto o inválido","Dígito verificador Módulo 11 no coincide"),"Prima informada ($"&amp;INDEX(Base_Altas_Recibidas!$I$5:$I$104,$I74)&amp;") no coincide con tarifa oficial PIMS ($"&amp;INDEX(Base_Altas_Recibidas!$J$5:$J$104,$I74)&amp;")"))))))</f>
        <v/>
      </c>
      <c r="H74" s="31" t="str">
        <f t="shared" ref="H74:H108" ca="1" si="2">IF($A74="","",IF($F74="RECHAZADO_DATOS_INCOMPLETOS","Completar/corregir los campos de entrada y volver a validar.",IF($F74="RECHAZADO_ID_DUPLICADO","Verificar el ID y asignar un identificador único antes de reenviar.",IF($F74="RECHAZADO_PLAN_NO_CATALOGADO","Confirmar el código/nombre del producto con Suscripción antes de reenviar.",IF($F74="RECHAZADO_ELEGIBILIDAD","No cargar; confirmar elegibilidad según condiciones autorizadas del producto.",IF($F74="RECHAZADO_RUT_INVALIDO","Contrastar con documento de identidad, corregir RUT y volver a validar.","Corregir prima contra el catálogo oficial; si hubo cobro distinto, escalar para regularización."))))))</f>
        <v/>
      </c>
      <c r="I74" s="32" t="str">
        <f ca="1">IF($A74="","",MATCH($A74,Base_Altas_Recibidas!$O$5:$O$104,0))</f>
        <v/>
      </c>
    </row>
    <row r="75" spans="1:9" x14ac:dyDescent="0.25">
      <c r="A75" s="33" t="str">
        <f ca="1">IF(ROWS($A$10:$A75)&lt;=$B$5,ROWS($A$10:$A75),"")</f>
        <v/>
      </c>
      <c r="B75" s="34" t="str">
        <f ca="1">IF($A75="","",INDEX(Base_Altas_Recibidas!$A$5:$A$104,$I75))</f>
        <v/>
      </c>
      <c r="C75" s="34" t="str">
        <f ca="1">IF($A75="","",INDEX(Base_Altas_Recibidas!$C$5:$C$104,$I75))</f>
        <v/>
      </c>
      <c r="D75" s="34" t="str">
        <f ca="1">IF($A75="","",INDEX(Base_Altas_Recibidas!$D$5:$D$104,$I75))</f>
        <v/>
      </c>
      <c r="E75" s="34" t="str">
        <f ca="1">IF($A75="","",INDEX(Base_Altas_Recibidas!$E$5:$E$104,$I75))</f>
        <v/>
      </c>
      <c r="F75" s="34" t="str">
        <f ca="1">IF($A75="","",INDEX(Base_Altas_Recibidas!$K$5:$K$104,$I75))</f>
        <v/>
      </c>
      <c r="G75" s="35" t="str">
        <f ca="1">IF($A75="","",IF($F75="RECHAZADO_DATOS_INCOMPLETOS","Campos obligatorios incompletos o fecha/prima inválida",IF($F75="RECHAZADO_ID_DUPLICADO","Identificador de solicitud duplicado: "&amp;$B75,IF($F75="RECHAZADO_PLAN_NO_CATALOGADO","El plan solicitado no existe en el catálogo PIMS: "&amp;INDEX(Base_Altas_Recibidas!$H$5:$H$104,$I75),IF($F75="RECHAZADO_ELEGIBILIDAD","Edad fuera del rango definido en catálogo (18-65 como supuesto del laboratorio): "&amp;INDEX(Base_Altas_Recibidas!$G$5:$G$104,$I75)&amp;" años",IF($F75="RECHAZADO_RUT_INVALIDO",IF(OR(NOT(ISNUMBER(FIND("-",TRIM($D75)))),LEN(INDEX(Base_Altas_Recibidas!$M$5:$M$104,$I75))&lt;8,LEN(INDEX(Base_Altas_Recibidas!$M$5:$M$104,$I75))&gt;9),"Formato de RUT incompleto o inválido","Dígito verificador Módulo 11 no coincide"),"Prima informada ($"&amp;INDEX(Base_Altas_Recibidas!$I$5:$I$104,$I75)&amp;") no coincide con tarifa oficial PIMS ($"&amp;INDEX(Base_Altas_Recibidas!$J$5:$J$104,$I75)&amp;")"))))))</f>
        <v/>
      </c>
      <c r="H75" s="35" t="str">
        <f t="shared" ca="1" si="2"/>
        <v/>
      </c>
      <c r="I75" s="36" t="str">
        <f ca="1">IF($A75="","",MATCH($A75,Base_Altas_Recibidas!$O$5:$O$104,0))</f>
        <v/>
      </c>
    </row>
    <row r="76" spans="1:9" x14ac:dyDescent="0.25">
      <c r="A76" s="29" t="str">
        <f ca="1">IF(ROWS($A$10:$A76)&lt;=$B$5,ROWS($A$10:$A76),"")</f>
        <v/>
      </c>
      <c r="B76" s="30" t="str">
        <f ca="1">IF($A76="","",INDEX(Base_Altas_Recibidas!$A$5:$A$104,$I76))</f>
        <v/>
      </c>
      <c r="C76" s="30" t="str">
        <f ca="1">IF($A76="","",INDEX(Base_Altas_Recibidas!$C$5:$C$104,$I76))</f>
        <v/>
      </c>
      <c r="D76" s="30" t="str">
        <f ca="1">IF($A76="","",INDEX(Base_Altas_Recibidas!$D$5:$D$104,$I76))</f>
        <v/>
      </c>
      <c r="E76" s="30" t="str">
        <f ca="1">IF($A76="","",INDEX(Base_Altas_Recibidas!$E$5:$E$104,$I76))</f>
        <v/>
      </c>
      <c r="F76" s="30" t="str">
        <f ca="1">IF($A76="","",INDEX(Base_Altas_Recibidas!$K$5:$K$104,$I76))</f>
        <v/>
      </c>
      <c r="G76" s="31" t="str">
        <f ca="1">IF($A76="","",IF($F76="RECHAZADO_DATOS_INCOMPLETOS","Campos obligatorios incompletos o fecha/prima inválida",IF($F76="RECHAZADO_ID_DUPLICADO","Identificador de solicitud duplicado: "&amp;$B76,IF($F76="RECHAZADO_PLAN_NO_CATALOGADO","El plan solicitado no existe en el catálogo PIMS: "&amp;INDEX(Base_Altas_Recibidas!$H$5:$H$104,$I76),IF($F76="RECHAZADO_ELEGIBILIDAD","Edad fuera del rango definido en catálogo (18-65 como supuesto del laboratorio): "&amp;INDEX(Base_Altas_Recibidas!$G$5:$G$104,$I76)&amp;" años",IF($F76="RECHAZADO_RUT_INVALIDO",IF(OR(NOT(ISNUMBER(FIND("-",TRIM($D76)))),LEN(INDEX(Base_Altas_Recibidas!$M$5:$M$104,$I76))&lt;8,LEN(INDEX(Base_Altas_Recibidas!$M$5:$M$104,$I76))&gt;9),"Formato de RUT incompleto o inválido","Dígito verificador Módulo 11 no coincide"),"Prima informada ($"&amp;INDEX(Base_Altas_Recibidas!$I$5:$I$104,$I76)&amp;") no coincide con tarifa oficial PIMS ($"&amp;INDEX(Base_Altas_Recibidas!$J$5:$J$104,$I76)&amp;")"))))))</f>
        <v/>
      </c>
      <c r="H76" s="31" t="str">
        <f t="shared" ca="1" si="2"/>
        <v/>
      </c>
      <c r="I76" s="32" t="str">
        <f ca="1">IF($A76="","",MATCH($A76,Base_Altas_Recibidas!$O$5:$O$104,0))</f>
        <v/>
      </c>
    </row>
    <row r="77" spans="1:9" x14ac:dyDescent="0.25">
      <c r="A77" s="33" t="str">
        <f ca="1">IF(ROWS($A$10:$A77)&lt;=$B$5,ROWS($A$10:$A77),"")</f>
        <v/>
      </c>
      <c r="B77" s="34" t="str">
        <f ca="1">IF($A77="","",INDEX(Base_Altas_Recibidas!$A$5:$A$104,$I77))</f>
        <v/>
      </c>
      <c r="C77" s="34" t="str">
        <f ca="1">IF($A77="","",INDEX(Base_Altas_Recibidas!$C$5:$C$104,$I77))</f>
        <v/>
      </c>
      <c r="D77" s="34" t="str">
        <f ca="1">IF($A77="","",INDEX(Base_Altas_Recibidas!$D$5:$D$104,$I77))</f>
        <v/>
      </c>
      <c r="E77" s="34" t="str">
        <f ca="1">IF($A77="","",INDEX(Base_Altas_Recibidas!$E$5:$E$104,$I77))</f>
        <v/>
      </c>
      <c r="F77" s="34" t="str">
        <f ca="1">IF($A77="","",INDEX(Base_Altas_Recibidas!$K$5:$K$104,$I77))</f>
        <v/>
      </c>
      <c r="G77" s="35" t="str">
        <f ca="1">IF($A77="","",IF($F77="RECHAZADO_DATOS_INCOMPLETOS","Campos obligatorios incompletos o fecha/prima inválida",IF($F77="RECHAZADO_ID_DUPLICADO","Identificador de solicitud duplicado: "&amp;$B77,IF($F77="RECHAZADO_PLAN_NO_CATALOGADO","El plan solicitado no existe en el catálogo PIMS: "&amp;INDEX(Base_Altas_Recibidas!$H$5:$H$104,$I77),IF($F77="RECHAZADO_ELEGIBILIDAD","Edad fuera del rango definido en catálogo (18-65 como supuesto del laboratorio): "&amp;INDEX(Base_Altas_Recibidas!$G$5:$G$104,$I77)&amp;" años",IF($F77="RECHAZADO_RUT_INVALIDO",IF(OR(NOT(ISNUMBER(FIND("-",TRIM($D77)))),LEN(INDEX(Base_Altas_Recibidas!$M$5:$M$104,$I77))&lt;8,LEN(INDEX(Base_Altas_Recibidas!$M$5:$M$104,$I77))&gt;9),"Formato de RUT incompleto o inválido","Dígito verificador Módulo 11 no coincide"),"Prima informada ($"&amp;INDEX(Base_Altas_Recibidas!$I$5:$I$104,$I77)&amp;") no coincide con tarifa oficial PIMS ($"&amp;INDEX(Base_Altas_Recibidas!$J$5:$J$104,$I77)&amp;")"))))))</f>
        <v/>
      </c>
      <c r="H77" s="35" t="str">
        <f t="shared" ca="1" si="2"/>
        <v/>
      </c>
      <c r="I77" s="36" t="str">
        <f ca="1">IF($A77="","",MATCH($A77,Base_Altas_Recibidas!$O$5:$O$104,0))</f>
        <v/>
      </c>
    </row>
    <row r="78" spans="1:9" x14ac:dyDescent="0.25">
      <c r="A78" s="29" t="str">
        <f ca="1">IF(ROWS($A$10:$A78)&lt;=$B$5,ROWS($A$10:$A78),"")</f>
        <v/>
      </c>
      <c r="B78" s="30" t="str">
        <f ca="1">IF($A78="","",INDEX(Base_Altas_Recibidas!$A$5:$A$104,$I78))</f>
        <v/>
      </c>
      <c r="C78" s="30" t="str">
        <f ca="1">IF($A78="","",INDEX(Base_Altas_Recibidas!$C$5:$C$104,$I78))</f>
        <v/>
      </c>
      <c r="D78" s="30" t="str">
        <f ca="1">IF($A78="","",INDEX(Base_Altas_Recibidas!$D$5:$D$104,$I78))</f>
        <v/>
      </c>
      <c r="E78" s="30" t="str">
        <f ca="1">IF($A78="","",INDEX(Base_Altas_Recibidas!$E$5:$E$104,$I78))</f>
        <v/>
      </c>
      <c r="F78" s="30" t="str">
        <f ca="1">IF($A78="","",INDEX(Base_Altas_Recibidas!$K$5:$K$104,$I78))</f>
        <v/>
      </c>
      <c r="G78" s="31" t="str">
        <f ca="1">IF($A78="","",IF($F78="RECHAZADO_DATOS_INCOMPLETOS","Campos obligatorios incompletos o fecha/prima inválida",IF($F78="RECHAZADO_ID_DUPLICADO","Identificador de solicitud duplicado: "&amp;$B78,IF($F78="RECHAZADO_PLAN_NO_CATALOGADO","El plan solicitado no existe en el catálogo PIMS: "&amp;INDEX(Base_Altas_Recibidas!$H$5:$H$104,$I78),IF($F78="RECHAZADO_ELEGIBILIDAD","Edad fuera del rango definido en catálogo (18-65 como supuesto del laboratorio): "&amp;INDEX(Base_Altas_Recibidas!$G$5:$G$104,$I78)&amp;" años",IF($F78="RECHAZADO_RUT_INVALIDO",IF(OR(NOT(ISNUMBER(FIND("-",TRIM($D78)))),LEN(INDEX(Base_Altas_Recibidas!$M$5:$M$104,$I78))&lt;8,LEN(INDEX(Base_Altas_Recibidas!$M$5:$M$104,$I78))&gt;9),"Formato de RUT incompleto o inválido","Dígito verificador Módulo 11 no coincide"),"Prima informada ($"&amp;INDEX(Base_Altas_Recibidas!$I$5:$I$104,$I78)&amp;") no coincide con tarifa oficial PIMS ($"&amp;INDEX(Base_Altas_Recibidas!$J$5:$J$104,$I78)&amp;")"))))))</f>
        <v/>
      </c>
      <c r="H78" s="31" t="str">
        <f t="shared" ca="1" si="2"/>
        <v/>
      </c>
      <c r="I78" s="32" t="str">
        <f ca="1">IF($A78="","",MATCH($A78,Base_Altas_Recibidas!$O$5:$O$104,0))</f>
        <v/>
      </c>
    </row>
    <row r="79" spans="1:9" x14ac:dyDescent="0.25">
      <c r="A79" s="33" t="str">
        <f ca="1">IF(ROWS($A$10:$A79)&lt;=$B$5,ROWS($A$10:$A79),"")</f>
        <v/>
      </c>
      <c r="B79" s="34" t="str">
        <f ca="1">IF($A79="","",INDEX(Base_Altas_Recibidas!$A$5:$A$104,$I79))</f>
        <v/>
      </c>
      <c r="C79" s="34" t="str">
        <f ca="1">IF($A79="","",INDEX(Base_Altas_Recibidas!$C$5:$C$104,$I79))</f>
        <v/>
      </c>
      <c r="D79" s="34" t="str">
        <f ca="1">IF($A79="","",INDEX(Base_Altas_Recibidas!$D$5:$D$104,$I79))</f>
        <v/>
      </c>
      <c r="E79" s="34" t="str">
        <f ca="1">IF($A79="","",INDEX(Base_Altas_Recibidas!$E$5:$E$104,$I79))</f>
        <v/>
      </c>
      <c r="F79" s="34" t="str">
        <f ca="1">IF($A79="","",INDEX(Base_Altas_Recibidas!$K$5:$K$104,$I79))</f>
        <v/>
      </c>
      <c r="G79" s="35" t="str">
        <f ca="1">IF($A79="","",IF($F79="RECHAZADO_DATOS_INCOMPLETOS","Campos obligatorios incompletos o fecha/prima inválida",IF($F79="RECHAZADO_ID_DUPLICADO","Identificador de solicitud duplicado: "&amp;$B79,IF($F79="RECHAZADO_PLAN_NO_CATALOGADO","El plan solicitado no existe en el catálogo PIMS: "&amp;INDEX(Base_Altas_Recibidas!$H$5:$H$104,$I79),IF($F79="RECHAZADO_ELEGIBILIDAD","Edad fuera del rango definido en catálogo (18-65 como supuesto del laboratorio): "&amp;INDEX(Base_Altas_Recibidas!$G$5:$G$104,$I79)&amp;" años",IF($F79="RECHAZADO_RUT_INVALIDO",IF(OR(NOT(ISNUMBER(FIND("-",TRIM($D79)))),LEN(INDEX(Base_Altas_Recibidas!$M$5:$M$104,$I79))&lt;8,LEN(INDEX(Base_Altas_Recibidas!$M$5:$M$104,$I79))&gt;9),"Formato de RUT incompleto o inválido","Dígito verificador Módulo 11 no coincide"),"Prima informada ($"&amp;INDEX(Base_Altas_Recibidas!$I$5:$I$104,$I79)&amp;") no coincide con tarifa oficial PIMS ($"&amp;INDEX(Base_Altas_Recibidas!$J$5:$J$104,$I79)&amp;")"))))))</f>
        <v/>
      </c>
      <c r="H79" s="35" t="str">
        <f t="shared" ca="1" si="2"/>
        <v/>
      </c>
      <c r="I79" s="36" t="str">
        <f ca="1">IF($A79="","",MATCH($A79,Base_Altas_Recibidas!$O$5:$O$104,0))</f>
        <v/>
      </c>
    </row>
    <row r="80" spans="1:9" x14ac:dyDescent="0.25">
      <c r="A80" s="29" t="str">
        <f ca="1">IF(ROWS($A$10:$A80)&lt;=$B$5,ROWS($A$10:$A80),"")</f>
        <v/>
      </c>
      <c r="B80" s="30" t="str">
        <f ca="1">IF($A80="","",INDEX(Base_Altas_Recibidas!$A$5:$A$104,$I80))</f>
        <v/>
      </c>
      <c r="C80" s="30" t="str">
        <f ca="1">IF($A80="","",INDEX(Base_Altas_Recibidas!$C$5:$C$104,$I80))</f>
        <v/>
      </c>
      <c r="D80" s="30" t="str">
        <f ca="1">IF($A80="","",INDEX(Base_Altas_Recibidas!$D$5:$D$104,$I80))</f>
        <v/>
      </c>
      <c r="E80" s="30" t="str">
        <f ca="1">IF($A80="","",INDEX(Base_Altas_Recibidas!$E$5:$E$104,$I80))</f>
        <v/>
      </c>
      <c r="F80" s="30" t="str">
        <f ca="1">IF($A80="","",INDEX(Base_Altas_Recibidas!$K$5:$K$104,$I80))</f>
        <v/>
      </c>
      <c r="G80" s="31" t="str">
        <f ca="1">IF($A80="","",IF($F80="RECHAZADO_DATOS_INCOMPLETOS","Campos obligatorios incompletos o fecha/prima inválida",IF($F80="RECHAZADO_ID_DUPLICADO","Identificador de solicitud duplicado: "&amp;$B80,IF($F80="RECHAZADO_PLAN_NO_CATALOGADO","El plan solicitado no existe en el catálogo PIMS: "&amp;INDEX(Base_Altas_Recibidas!$H$5:$H$104,$I80),IF($F80="RECHAZADO_ELEGIBILIDAD","Edad fuera del rango definido en catálogo (18-65 como supuesto del laboratorio): "&amp;INDEX(Base_Altas_Recibidas!$G$5:$G$104,$I80)&amp;" años",IF($F80="RECHAZADO_RUT_INVALIDO",IF(OR(NOT(ISNUMBER(FIND("-",TRIM($D80)))),LEN(INDEX(Base_Altas_Recibidas!$M$5:$M$104,$I80))&lt;8,LEN(INDEX(Base_Altas_Recibidas!$M$5:$M$104,$I80))&gt;9),"Formato de RUT incompleto o inválido","Dígito verificador Módulo 11 no coincide"),"Prima informada ($"&amp;INDEX(Base_Altas_Recibidas!$I$5:$I$104,$I80)&amp;") no coincide con tarifa oficial PIMS ($"&amp;INDEX(Base_Altas_Recibidas!$J$5:$J$104,$I80)&amp;")"))))))</f>
        <v/>
      </c>
      <c r="H80" s="31" t="str">
        <f t="shared" ca="1" si="2"/>
        <v/>
      </c>
      <c r="I80" s="32" t="str">
        <f ca="1">IF($A80="","",MATCH($A80,Base_Altas_Recibidas!$O$5:$O$104,0))</f>
        <v/>
      </c>
    </row>
    <row r="81" spans="1:9" x14ac:dyDescent="0.25">
      <c r="A81" s="33" t="str">
        <f ca="1">IF(ROWS($A$10:$A81)&lt;=$B$5,ROWS($A$10:$A81),"")</f>
        <v/>
      </c>
      <c r="B81" s="34" t="str">
        <f ca="1">IF($A81="","",INDEX(Base_Altas_Recibidas!$A$5:$A$104,$I81))</f>
        <v/>
      </c>
      <c r="C81" s="34" t="str">
        <f ca="1">IF($A81="","",INDEX(Base_Altas_Recibidas!$C$5:$C$104,$I81))</f>
        <v/>
      </c>
      <c r="D81" s="34" t="str">
        <f ca="1">IF($A81="","",INDEX(Base_Altas_Recibidas!$D$5:$D$104,$I81))</f>
        <v/>
      </c>
      <c r="E81" s="34" t="str">
        <f ca="1">IF($A81="","",INDEX(Base_Altas_Recibidas!$E$5:$E$104,$I81))</f>
        <v/>
      </c>
      <c r="F81" s="34" t="str">
        <f ca="1">IF($A81="","",INDEX(Base_Altas_Recibidas!$K$5:$K$104,$I81))</f>
        <v/>
      </c>
      <c r="G81" s="35" t="str">
        <f ca="1">IF($A81="","",IF($F81="RECHAZADO_DATOS_INCOMPLETOS","Campos obligatorios incompletos o fecha/prima inválida",IF($F81="RECHAZADO_ID_DUPLICADO","Identificador de solicitud duplicado: "&amp;$B81,IF($F81="RECHAZADO_PLAN_NO_CATALOGADO","El plan solicitado no existe en el catálogo PIMS: "&amp;INDEX(Base_Altas_Recibidas!$H$5:$H$104,$I81),IF($F81="RECHAZADO_ELEGIBILIDAD","Edad fuera del rango definido en catálogo (18-65 como supuesto del laboratorio): "&amp;INDEX(Base_Altas_Recibidas!$G$5:$G$104,$I81)&amp;" años",IF($F81="RECHAZADO_RUT_INVALIDO",IF(OR(NOT(ISNUMBER(FIND("-",TRIM($D81)))),LEN(INDEX(Base_Altas_Recibidas!$M$5:$M$104,$I81))&lt;8,LEN(INDEX(Base_Altas_Recibidas!$M$5:$M$104,$I81))&gt;9),"Formato de RUT incompleto o inválido","Dígito verificador Módulo 11 no coincide"),"Prima informada ($"&amp;INDEX(Base_Altas_Recibidas!$I$5:$I$104,$I81)&amp;") no coincide con tarifa oficial PIMS ($"&amp;INDEX(Base_Altas_Recibidas!$J$5:$J$104,$I81)&amp;")"))))))</f>
        <v/>
      </c>
      <c r="H81" s="35" t="str">
        <f t="shared" ca="1" si="2"/>
        <v/>
      </c>
      <c r="I81" s="36" t="str">
        <f ca="1">IF($A81="","",MATCH($A81,Base_Altas_Recibidas!$O$5:$O$104,0))</f>
        <v/>
      </c>
    </row>
    <row r="82" spans="1:9" x14ac:dyDescent="0.25">
      <c r="A82" s="29" t="str">
        <f ca="1">IF(ROWS($A$10:$A82)&lt;=$B$5,ROWS($A$10:$A82),"")</f>
        <v/>
      </c>
      <c r="B82" s="30" t="str">
        <f ca="1">IF($A82="","",INDEX(Base_Altas_Recibidas!$A$5:$A$104,$I82))</f>
        <v/>
      </c>
      <c r="C82" s="30" t="str">
        <f ca="1">IF($A82="","",INDEX(Base_Altas_Recibidas!$C$5:$C$104,$I82))</f>
        <v/>
      </c>
      <c r="D82" s="30" t="str">
        <f ca="1">IF($A82="","",INDEX(Base_Altas_Recibidas!$D$5:$D$104,$I82))</f>
        <v/>
      </c>
      <c r="E82" s="30" t="str">
        <f ca="1">IF($A82="","",INDEX(Base_Altas_Recibidas!$E$5:$E$104,$I82))</f>
        <v/>
      </c>
      <c r="F82" s="30" t="str">
        <f ca="1">IF($A82="","",INDEX(Base_Altas_Recibidas!$K$5:$K$104,$I82))</f>
        <v/>
      </c>
      <c r="G82" s="31" t="str">
        <f ca="1">IF($A82="","",IF($F82="RECHAZADO_DATOS_INCOMPLETOS","Campos obligatorios incompletos o fecha/prima inválida",IF($F82="RECHAZADO_ID_DUPLICADO","Identificador de solicitud duplicado: "&amp;$B82,IF($F82="RECHAZADO_PLAN_NO_CATALOGADO","El plan solicitado no existe en el catálogo PIMS: "&amp;INDEX(Base_Altas_Recibidas!$H$5:$H$104,$I82),IF($F82="RECHAZADO_ELEGIBILIDAD","Edad fuera del rango definido en catálogo (18-65 como supuesto del laboratorio): "&amp;INDEX(Base_Altas_Recibidas!$G$5:$G$104,$I82)&amp;" años",IF($F82="RECHAZADO_RUT_INVALIDO",IF(OR(NOT(ISNUMBER(FIND("-",TRIM($D82)))),LEN(INDEX(Base_Altas_Recibidas!$M$5:$M$104,$I82))&lt;8,LEN(INDEX(Base_Altas_Recibidas!$M$5:$M$104,$I82))&gt;9),"Formato de RUT incompleto o inválido","Dígito verificador Módulo 11 no coincide"),"Prima informada ($"&amp;INDEX(Base_Altas_Recibidas!$I$5:$I$104,$I82)&amp;") no coincide con tarifa oficial PIMS ($"&amp;INDEX(Base_Altas_Recibidas!$J$5:$J$104,$I82)&amp;")"))))))</f>
        <v/>
      </c>
      <c r="H82" s="31" t="str">
        <f t="shared" ca="1" si="2"/>
        <v/>
      </c>
      <c r="I82" s="32" t="str">
        <f ca="1">IF($A82="","",MATCH($A82,Base_Altas_Recibidas!$O$5:$O$104,0))</f>
        <v/>
      </c>
    </row>
    <row r="83" spans="1:9" x14ac:dyDescent="0.25">
      <c r="A83" s="33" t="str">
        <f ca="1">IF(ROWS($A$10:$A83)&lt;=$B$5,ROWS($A$10:$A83),"")</f>
        <v/>
      </c>
      <c r="B83" s="34" t="str">
        <f ca="1">IF($A83="","",INDEX(Base_Altas_Recibidas!$A$5:$A$104,$I83))</f>
        <v/>
      </c>
      <c r="C83" s="34" t="str">
        <f ca="1">IF($A83="","",INDEX(Base_Altas_Recibidas!$C$5:$C$104,$I83))</f>
        <v/>
      </c>
      <c r="D83" s="34" t="str">
        <f ca="1">IF($A83="","",INDEX(Base_Altas_Recibidas!$D$5:$D$104,$I83))</f>
        <v/>
      </c>
      <c r="E83" s="34" t="str">
        <f ca="1">IF($A83="","",INDEX(Base_Altas_Recibidas!$E$5:$E$104,$I83))</f>
        <v/>
      </c>
      <c r="F83" s="34" t="str">
        <f ca="1">IF($A83="","",INDEX(Base_Altas_Recibidas!$K$5:$K$104,$I83))</f>
        <v/>
      </c>
      <c r="G83" s="35" t="str">
        <f ca="1">IF($A83="","",IF($F83="RECHAZADO_DATOS_INCOMPLETOS","Campos obligatorios incompletos o fecha/prima inválida",IF($F83="RECHAZADO_ID_DUPLICADO","Identificador de solicitud duplicado: "&amp;$B83,IF($F83="RECHAZADO_PLAN_NO_CATALOGADO","El plan solicitado no existe en el catálogo PIMS: "&amp;INDEX(Base_Altas_Recibidas!$H$5:$H$104,$I83),IF($F83="RECHAZADO_ELEGIBILIDAD","Edad fuera del rango definido en catálogo (18-65 como supuesto del laboratorio): "&amp;INDEX(Base_Altas_Recibidas!$G$5:$G$104,$I83)&amp;" años",IF($F83="RECHAZADO_RUT_INVALIDO",IF(OR(NOT(ISNUMBER(FIND("-",TRIM($D83)))),LEN(INDEX(Base_Altas_Recibidas!$M$5:$M$104,$I83))&lt;8,LEN(INDEX(Base_Altas_Recibidas!$M$5:$M$104,$I83))&gt;9),"Formato de RUT incompleto o inválido","Dígito verificador Módulo 11 no coincide"),"Prima informada ($"&amp;INDEX(Base_Altas_Recibidas!$I$5:$I$104,$I83)&amp;") no coincide con tarifa oficial PIMS ($"&amp;INDEX(Base_Altas_Recibidas!$J$5:$J$104,$I83)&amp;")"))))))</f>
        <v/>
      </c>
      <c r="H83" s="35" t="str">
        <f t="shared" ca="1" si="2"/>
        <v/>
      </c>
      <c r="I83" s="36" t="str">
        <f ca="1">IF($A83="","",MATCH($A83,Base_Altas_Recibidas!$O$5:$O$104,0))</f>
        <v/>
      </c>
    </row>
    <row r="84" spans="1:9" x14ac:dyDescent="0.25">
      <c r="A84" s="29" t="str">
        <f ca="1">IF(ROWS($A$10:$A84)&lt;=$B$5,ROWS($A$10:$A84),"")</f>
        <v/>
      </c>
      <c r="B84" s="30" t="str">
        <f ca="1">IF($A84="","",INDEX(Base_Altas_Recibidas!$A$5:$A$104,$I84))</f>
        <v/>
      </c>
      <c r="C84" s="30" t="str">
        <f ca="1">IF($A84="","",INDEX(Base_Altas_Recibidas!$C$5:$C$104,$I84))</f>
        <v/>
      </c>
      <c r="D84" s="30" t="str">
        <f ca="1">IF($A84="","",INDEX(Base_Altas_Recibidas!$D$5:$D$104,$I84))</f>
        <v/>
      </c>
      <c r="E84" s="30" t="str">
        <f ca="1">IF($A84="","",INDEX(Base_Altas_Recibidas!$E$5:$E$104,$I84))</f>
        <v/>
      </c>
      <c r="F84" s="30" t="str">
        <f ca="1">IF($A84="","",INDEX(Base_Altas_Recibidas!$K$5:$K$104,$I84))</f>
        <v/>
      </c>
      <c r="G84" s="31" t="str">
        <f ca="1">IF($A84="","",IF($F84="RECHAZADO_DATOS_INCOMPLETOS","Campos obligatorios incompletos o fecha/prima inválida",IF($F84="RECHAZADO_ID_DUPLICADO","Identificador de solicitud duplicado: "&amp;$B84,IF($F84="RECHAZADO_PLAN_NO_CATALOGADO","El plan solicitado no existe en el catálogo PIMS: "&amp;INDEX(Base_Altas_Recibidas!$H$5:$H$104,$I84),IF($F84="RECHAZADO_ELEGIBILIDAD","Edad fuera del rango definido en catálogo (18-65 como supuesto del laboratorio): "&amp;INDEX(Base_Altas_Recibidas!$G$5:$G$104,$I84)&amp;" años",IF($F84="RECHAZADO_RUT_INVALIDO",IF(OR(NOT(ISNUMBER(FIND("-",TRIM($D84)))),LEN(INDEX(Base_Altas_Recibidas!$M$5:$M$104,$I84))&lt;8,LEN(INDEX(Base_Altas_Recibidas!$M$5:$M$104,$I84))&gt;9),"Formato de RUT incompleto o inválido","Dígito verificador Módulo 11 no coincide"),"Prima informada ($"&amp;INDEX(Base_Altas_Recibidas!$I$5:$I$104,$I84)&amp;") no coincide con tarifa oficial PIMS ($"&amp;INDEX(Base_Altas_Recibidas!$J$5:$J$104,$I84)&amp;")"))))))</f>
        <v/>
      </c>
      <c r="H84" s="31" t="str">
        <f t="shared" ca="1" si="2"/>
        <v/>
      </c>
      <c r="I84" s="32" t="str">
        <f ca="1">IF($A84="","",MATCH($A84,Base_Altas_Recibidas!$O$5:$O$104,0))</f>
        <v/>
      </c>
    </row>
    <row r="85" spans="1:9" x14ac:dyDescent="0.25">
      <c r="A85" s="33" t="str">
        <f ca="1">IF(ROWS($A$10:$A85)&lt;=$B$5,ROWS($A$10:$A85),"")</f>
        <v/>
      </c>
      <c r="B85" s="34" t="str">
        <f ca="1">IF($A85="","",INDEX(Base_Altas_Recibidas!$A$5:$A$104,$I85))</f>
        <v/>
      </c>
      <c r="C85" s="34" t="str">
        <f ca="1">IF($A85="","",INDEX(Base_Altas_Recibidas!$C$5:$C$104,$I85))</f>
        <v/>
      </c>
      <c r="D85" s="34" t="str">
        <f ca="1">IF($A85="","",INDEX(Base_Altas_Recibidas!$D$5:$D$104,$I85))</f>
        <v/>
      </c>
      <c r="E85" s="34" t="str">
        <f ca="1">IF($A85="","",INDEX(Base_Altas_Recibidas!$E$5:$E$104,$I85))</f>
        <v/>
      </c>
      <c r="F85" s="34" t="str">
        <f ca="1">IF($A85="","",INDEX(Base_Altas_Recibidas!$K$5:$K$104,$I85))</f>
        <v/>
      </c>
      <c r="G85" s="35" t="str">
        <f ca="1">IF($A85="","",IF($F85="RECHAZADO_DATOS_INCOMPLETOS","Campos obligatorios incompletos o fecha/prima inválida",IF($F85="RECHAZADO_ID_DUPLICADO","Identificador de solicitud duplicado: "&amp;$B85,IF($F85="RECHAZADO_PLAN_NO_CATALOGADO","El plan solicitado no existe en el catálogo PIMS: "&amp;INDEX(Base_Altas_Recibidas!$H$5:$H$104,$I85),IF($F85="RECHAZADO_ELEGIBILIDAD","Edad fuera del rango definido en catálogo (18-65 como supuesto del laboratorio): "&amp;INDEX(Base_Altas_Recibidas!$G$5:$G$104,$I85)&amp;" años",IF($F85="RECHAZADO_RUT_INVALIDO",IF(OR(NOT(ISNUMBER(FIND("-",TRIM($D85)))),LEN(INDEX(Base_Altas_Recibidas!$M$5:$M$104,$I85))&lt;8,LEN(INDEX(Base_Altas_Recibidas!$M$5:$M$104,$I85))&gt;9),"Formato de RUT incompleto o inválido","Dígito verificador Módulo 11 no coincide"),"Prima informada ($"&amp;INDEX(Base_Altas_Recibidas!$I$5:$I$104,$I85)&amp;") no coincide con tarifa oficial PIMS ($"&amp;INDEX(Base_Altas_Recibidas!$J$5:$J$104,$I85)&amp;")"))))))</f>
        <v/>
      </c>
      <c r="H85" s="35" t="str">
        <f t="shared" ca="1" si="2"/>
        <v/>
      </c>
      <c r="I85" s="36" t="str">
        <f ca="1">IF($A85="","",MATCH($A85,Base_Altas_Recibidas!$O$5:$O$104,0))</f>
        <v/>
      </c>
    </row>
    <row r="86" spans="1:9" x14ac:dyDescent="0.25">
      <c r="A86" s="29" t="str">
        <f ca="1">IF(ROWS($A$10:$A86)&lt;=$B$5,ROWS($A$10:$A86),"")</f>
        <v/>
      </c>
      <c r="B86" s="30" t="str">
        <f ca="1">IF($A86="","",INDEX(Base_Altas_Recibidas!$A$5:$A$104,$I86))</f>
        <v/>
      </c>
      <c r="C86" s="30" t="str">
        <f ca="1">IF($A86="","",INDEX(Base_Altas_Recibidas!$C$5:$C$104,$I86))</f>
        <v/>
      </c>
      <c r="D86" s="30" t="str">
        <f ca="1">IF($A86="","",INDEX(Base_Altas_Recibidas!$D$5:$D$104,$I86))</f>
        <v/>
      </c>
      <c r="E86" s="30" t="str">
        <f ca="1">IF($A86="","",INDEX(Base_Altas_Recibidas!$E$5:$E$104,$I86))</f>
        <v/>
      </c>
      <c r="F86" s="30" t="str">
        <f ca="1">IF($A86="","",INDEX(Base_Altas_Recibidas!$K$5:$K$104,$I86))</f>
        <v/>
      </c>
      <c r="G86" s="31" t="str">
        <f ca="1">IF($A86="","",IF($F86="RECHAZADO_DATOS_INCOMPLETOS","Campos obligatorios incompletos o fecha/prima inválida",IF($F86="RECHAZADO_ID_DUPLICADO","Identificador de solicitud duplicado: "&amp;$B86,IF($F86="RECHAZADO_PLAN_NO_CATALOGADO","El plan solicitado no existe en el catálogo PIMS: "&amp;INDEX(Base_Altas_Recibidas!$H$5:$H$104,$I86),IF($F86="RECHAZADO_ELEGIBILIDAD","Edad fuera del rango definido en catálogo (18-65 como supuesto del laboratorio): "&amp;INDEX(Base_Altas_Recibidas!$G$5:$G$104,$I86)&amp;" años",IF($F86="RECHAZADO_RUT_INVALIDO",IF(OR(NOT(ISNUMBER(FIND("-",TRIM($D86)))),LEN(INDEX(Base_Altas_Recibidas!$M$5:$M$104,$I86))&lt;8,LEN(INDEX(Base_Altas_Recibidas!$M$5:$M$104,$I86))&gt;9),"Formato de RUT incompleto o inválido","Dígito verificador Módulo 11 no coincide"),"Prima informada ($"&amp;INDEX(Base_Altas_Recibidas!$I$5:$I$104,$I86)&amp;") no coincide con tarifa oficial PIMS ($"&amp;INDEX(Base_Altas_Recibidas!$J$5:$J$104,$I86)&amp;")"))))))</f>
        <v/>
      </c>
      <c r="H86" s="31" t="str">
        <f t="shared" ca="1" si="2"/>
        <v/>
      </c>
      <c r="I86" s="32" t="str">
        <f ca="1">IF($A86="","",MATCH($A86,Base_Altas_Recibidas!$O$5:$O$104,0))</f>
        <v/>
      </c>
    </row>
    <row r="87" spans="1:9" x14ac:dyDescent="0.25">
      <c r="A87" s="33" t="str">
        <f ca="1">IF(ROWS($A$10:$A87)&lt;=$B$5,ROWS($A$10:$A87),"")</f>
        <v/>
      </c>
      <c r="B87" s="34" t="str">
        <f ca="1">IF($A87="","",INDEX(Base_Altas_Recibidas!$A$5:$A$104,$I87))</f>
        <v/>
      </c>
      <c r="C87" s="34" t="str">
        <f ca="1">IF($A87="","",INDEX(Base_Altas_Recibidas!$C$5:$C$104,$I87))</f>
        <v/>
      </c>
      <c r="D87" s="34" t="str">
        <f ca="1">IF($A87="","",INDEX(Base_Altas_Recibidas!$D$5:$D$104,$I87))</f>
        <v/>
      </c>
      <c r="E87" s="34" t="str">
        <f ca="1">IF($A87="","",INDEX(Base_Altas_Recibidas!$E$5:$E$104,$I87))</f>
        <v/>
      </c>
      <c r="F87" s="34" t="str">
        <f ca="1">IF($A87="","",INDEX(Base_Altas_Recibidas!$K$5:$K$104,$I87))</f>
        <v/>
      </c>
      <c r="G87" s="35" t="str">
        <f ca="1">IF($A87="","",IF($F87="RECHAZADO_DATOS_INCOMPLETOS","Campos obligatorios incompletos o fecha/prima inválida",IF($F87="RECHAZADO_ID_DUPLICADO","Identificador de solicitud duplicado: "&amp;$B87,IF($F87="RECHAZADO_PLAN_NO_CATALOGADO","El plan solicitado no existe en el catálogo PIMS: "&amp;INDEX(Base_Altas_Recibidas!$H$5:$H$104,$I87),IF($F87="RECHAZADO_ELEGIBILIDAD","Edad fuera del rango definido en catálogo (18-65 como supuesto del laboratorio): "&amp;INDEX(Base_Altas_Recibidas!$G$5:$G$104,$I87)&amp;" años",IF($F87="RECHAZADO_RUT_INVALIDO",IF(OR(NOT(ISNUMBER(FIND("-",TRIM($D87)))),LEN(INDEX(Base_Altas_Recibidas!$M$5:$M$104,$I87))&lt;8,LEN(INDEX(Base_Altas_Recibidas!$M$5:$M$104,$I87))&gt;9),"Formato de RUT incompleto o inválido","Dígito verificador Módulo 11 no coincide"),"Prima informada ($"&amp;INDEX(Base_Altas_Recibidas!$I$5:$I$104,$I87)&amp;") no coincide con tarifa oficial PIMS ($"&amp;INDEX(Base_Altas_Recibidas!$J$5:$J$104,$I87)&amp;")"))))))</f>
        <v/>
      </c>
      <c r="H87" s="35" t="str">
        <f t="shared" ca="1" si="2"/>
        <v/>
      </c>
      <c r="I87" s="36" t="str">
        <f ca="1">IF($A87="","",MATCH($A87,Base_Altas_Recibidas!$O$5:$O$104,0))</f>
        <v/>
      </c>
    </row>
    <row r="88" spans="1:9" x14ac:dyDescent="0.25">
      <c r="A88" s="29" t="str">
        <f ca="1">IF(ROWS($A$10:$A88)&lt;=$B$5,ROWS($A$10:$A88),"")</f>
        <v/>
      </c>
      <c r="B88" s="30" t="str">
        <f ca="1">IF($A88="","",INDEX(Base_Altas_Recibidas!$A$5:$A$104,$I88))</f>
        <v/>
      </c>
      <c r="C88" s="30" t="str">
        <f ca="1">IF($A88="","",INDEX(Base_Altas_Recibidas!$C$5:$C$104,$I88))</f>
        <v/>
      </c>
      <c r="D88" s="30" t="str">
        <f ca="1">IF($A88="","",INDEX(Base_Altas_Recibidas!$D$5:$D$104,$I88))</f>
        <v/>
      </c>
      <c r="E88" s="30" t="str">
        <f ca="1">IF($A88="","",INDEX(Base_Altas_Recibidas!$E$5:$E$104,$I88))</f>
        <v/>
      </c>
      <c r="F88" s="30" t="str">
        <f ca="1">IF($A88="","",INDEX(Base_Altas_Recibidas!$K$5:$K$104,$I88))</f>
        <v/>
      </c>
      <c r="G88" s="31" t="str">
        <f ca="1">IF($A88="","",IF($F88="RECHAZADO_DATOS_INCOMPLETOS","Campos obligatorios incompletos o fecha/prima inválida",IF($F88="RECHAZADO_ID_DUPLICADO","Identificador de solicitud duplicado: "&amp;$B88,IF($F88="RECHAZADO_PLAN_NO_CATALOGADO","El plan solicitado no existe en el catálogo PIMS: "&amp;INDEX(Base_Altas_Recibidas!$H$5:$H$104,$I88),IF($F88="RECHAZADO_ELEGIBILIDAD","Edad fuera del rango definido en catálogo (18-65 como supuesto del laboratorio): "&amp;INDEX(Base_Altas_Recibidas!$G$5:$G$104,$I88)&amp;" años",IF($F88="RECHAZADO_RUT_INVALIDO",IF(OR(NOT(ISNUMBER(FIND("-",TRIM($D88)))),LEN(INDEX(Base_Altas_Recibidas!$M$5:$M$104,$I88))&lt;8,LEN(INDEX(Base_Altas_Recibidas!$M$5:$M$104,$I88))&gt;9),"Formato de RUT incompleto o inválido","Dígito verificador Módulo 11 no coincide"),"Prima informada ($"&amp;INDEX(Base_Altas_Recibidas!$I$5:$I$104,$I88)&amp;") no coincide con tarifa oficial PIMS ($"&amp;INDEX(Base_Altas_Recibidas!$J$5:$J$104,$I88)&amp;")"))))))</f>
        <v/>
      </c>
      <c r="H88" s="31" t="str">
        <f t="shared" ca="1" si="2"/>
        <v/>
      </c>
      <c r="I88" s="32" t="str">
        <f ca="1">IF($A88="","",MATCH($A88,Base_Altas_Recibidas!$O$5:$O$104,0))</f>
        <v/>
      </c>
    </row>
    <row r="89" spans="1:9" x14ac:dyDescent="0.25">
      <c r="A89" s="33" t="str">
        <f ca="1">IF(ROWS($A$10:$A89)&lt;=$B$5,ROWS($A$10:$A89),"")</f>
        <v/>
      </c>
      <c r="B89" s="34" t="str">
        <f ca="1">IF($A89="","",INDEX(Base_Altas_Recibidas!$A$5:$A$104,$I89))</f>
        <v/>
      </c>
      <c r="C89" s="34" t="str">
        <f ca="1">IF($A89="","",INDEX(Base_Altas_Recibidas!$C$5:$C$104,$I89))</f>
        <v/>
      </c>
      <c r="D89" s="34" t="str">
        <f ca="1">IF($A89="","",INDEX(Base_Altas_Recibidas!$D$5:$D$104,$I89))</f>
        <v/>
      </c>
      <c r="E89" s="34" t="str">
        <f ca="1">IF($A89="","",INDEX(Base_Altas_Recibidas!$E$5:$E$104,$I89))</f>
        <v/>
      </c>
      <c r="F89" s="34" t="str">
        <f ca="1">IF($A89="","",INDEX(Base_Altas_Recibidas!$K$5:$K$104,$I89))</f>
        <v/>
      </c>
      <c r="G89" s="35" t="str">
        <f ca="1">IF($A89="","",IF($F89="RECHAZADO_DATOS_INCOMPLETOS","Campos obligatorios incompletos o fecha/prima inválida",IF($F89="RECHAZADO_ID_DUPLICADO","Identificador de solicitud duplicado: "&amp;$B89,IF($F89="RECHAZADO_PLAN_NO_CATALOGADO","El plan solicitado no existe en el catálogo PIMS: "&amp;INDEX(Base_Altas_Recibidas!$H$5:$H$104,$I89),IF($F89="RECHAZADO_ELEGIBILIDAD","Edad fuera del rango definido en catálogo (18-65 como supuesto del laboratorio): "&amp;INDEX(Base_Altas_Recibidas!$G$5:$G$104,$I89)&amp;" años",IF($F89="RECHAZADO_RUT_INVALIDO",IF(OR(NOT(ISNUMBER(FIND("-",TRIM($D89)))),LEN(INDEX(Base_Altas_Recibidas!$M$5:$M$104,$I89))&lt;8,LEN(INDEX(Base_Altas_Recibidas!$M$5:$M$104,$I89))&gt;9),"Formato de RUT incompleto o inválido","Dígito verificador Módulo 11 no coincide"),"Prima informada ($"&amp;INDEX(Base_Altas_Recibidas!$I$5:$I$104,$I89)&amp;") no coincide con tarifa oficial PIMS ($"&amp;INDEX(Base_Altas_Recibidas!$J$5:$J$104,$I89)&amp;")"))))))</f>
        <v/>
      </c>
      <c r="H89" s="35" t="str">
        <f t="shared" ca="1" si="2"/>
        <v/>
      </c>
      <c r="I89" s="36" t="str">
        <f ca="1">IF($A89="","",MATCH($A89,Base_Altas_Recibidas!$O$5:$O$104,0))</f>
        <v/>
      </c>
    </row>
    <row r="90" spans="1:9" x14ac:dyDescent="0.25">
      <c r="A90" s="29" t="str">
        <f ca="1">IF(ROWS($A$10:$A90)&lt;=$B$5,ROWS($A$10:$A90),"")</f>
        <v/>
      </c>
      <c r="B90" s="30" t="str">
        <f ca="1">IF($A90="","",INDEX(Base_Altas_Recibidas!$A$5:$A$104,$I90))</f>
        <v/>
      </c>
      <c r="C90" s="30" t="str">
        <f ca="1">IF($A90="","",INDEX(Base_Altas_Recibidas!$C$5:$C$104,$I90))</f>
        <v/>
      </c>
      <c r="D90" s="30" t="str">
        <f ca="1">IF($A90="","",INDEX(Base_Altas_Recibidas!$D$5:$D$104,$I90))</f>
        <v/>
      </c>
      <c r="E90" s="30" t="str">
        <f ca="1">IF($A90="","",INDEX(Base_Altas_Recibidas!$E$5:$E$104,$I90))</f>
        <v/>
      </c>
      <c r="F90" s="30" t="str">
        <f ca="1">IF($A90="","",INDEX(Base_Altas_Recibidas!$K$5:$K$104,$I90))</f>
        <v/>
      </c>
      <c r="G90" s="31" t="str">
        <f ca="1">IF($A90="","",IF($F90="RECHAZADO_DATOS_INCOMPLETOS","Campos obligatorios incompletos o fecha/prima inválida",IF($F90="RECHAZADO_ID_DUPLICADO","Identificador de solicitud duplicado: "&amp;$B90,IF($F90="RECHAZADO_PLAN_NO_CATALOGADO","El plan solicitado no existe en el catálogo PIMS: "&amp;INDEX(Base_Altas_Recibidas!$H$5:$H$104,$I90),IF($F90="RECHAZADO_ELEGIBILIDAD","Edad fuera del rango definido en catálogo (18-65 como supuesto del laboratorio): "&amp;INDEX(Base_Altas_Recibidas!$G$5:$G$104,$I90)&amp;" años",IF($F90="RECHAZADO_RUT_INVALIDO",IF(OR(NOT(ISNUMBER(FIND("-",TRIM($D90)))),LEN(INDEX(Base_Altas_Recibidas!$M$5:$M$104,$I90))&lt;8,LEN(INDEX(Base_Altas_Recibidas!$M$5:$M$104,$I90))&gt;9),"Formato de RUT incompleto o inválido","Dígito verificador Módulo 11 no coincide"),"Prima informada ($"&amp;INDEX(Base_Altas_Recibidas!$I$5:$I$104,$I90)&amp;") no coincide con tarifa oficial PIMS ($"&amp;INDEX(Base_Altas_Recibidas!$J$5:$J$104,$I90)&amp;")"))))))</f>
        <v/>
      </c>
      <c r="H90" s="31" t="str">
        <f t="shared" ca="1" si="2"/>
        <v/>
      </c>
      <c r="I90" s="32" t="str">
        <f ca="1">IF($A90="","",MATCH($A90,Base_Altas_Recibidas!$O$5:$O$104,0))</f>
        <v/>
      </c>
    </row>
    <row r="91" spans="1:9" x14ac:dyDescent="0.25">
      <c r="A91" s="33" t="str">
        <f ca="1">IF(ROWS($A$10:$A91)&lt;=$B$5,ROWS($A$10:$A91),"")</f>
        <v/>
      </c>
      <c r="B91" s="34" t="str">
        <f ca="1">IF($A91="","",INDEX(Base_Altas_Recibidas!$A$5:$A$104,$I91))</f>
        <v/>
      </c>
      <c r="C91" s="34" t="str">
        <f ca="1">IF($A91="","",INDEX(Base_Altas_Recibidas!$C$5:$C$104,$I91))</f>
        <v/>
      </c>
      <c r="D91" s="34" t="str">
        <f ca="1">IF($A91="","",INDEX(Base_Altas_Recibidas!$D$5:$D$104,$I91))</f>
        <v/>
      </c>
      <c r="E91" s="34" t="str">
        <f ca="1">IF($A91="","",INDEX(Base_Altas_Recibidas!$E$5:$E$104,$I91))</f>
        <v/>
      </c>
      <c r="F91" s="34" t="str">
        <f ca="1">IF($A91="","",INDEX(Base_Altas_Recibidas!$K$5:$K$104,$I91))</f>
        <v/>
      </c>
      <c r="G91" s="35" t="str">
        <f ca="1">IF($A91="","",IF($F91="RECHAZADO_DATOS_INCOMPLETOS","Campos obligatorios incompletos o fecha/prima inválida",IF($F91="RECHAZADO_ID_DUPLICADO","Identificador de solicitud duplicado: "&amp;$B91,IF($F91="RECHAZADO_PLAN_NO_CATALOGADO","El plan solicitado no existe en el catálogo PIMS: "&amp;INDEX(Base_Altas_Recibidas!$H$5:$H$104,$I91),IF($F91="RECHAZADO_ELEGIBILIDAD","Edad fuera del rango definido en catálogo (18-65 como supuesto del laboratorio): "&amp;INDEX(Base_Altas_Recibidas!$G$5:$G$104,$I91)&amp;" años",IF($F91="RECHAZADO_RUT_INVALIDO",IF(OR(NOT(ISNUMBER(FIND("-",TRIM($D91)))),LEN(INDEX(Base_Altas_Recibidas!$M$5:$M$104,$I91))&lt;8,LEN(INDEX(Base_Altas_Recibidas!$M$5:$M$104,$I91))&gt;9),"Formato de RUT incompleto o inválido","Dígito verificador Módulo 11 no coincide"),"Prima informada ($"&amp;INDEX(Base_Altas_Recibidas!$I$5:$I$104,$I91)&amp;") no coincide con tarifa oficial PIMS ($"&amp;INDEX(Base_Altas_Recibidas!$J$5:$J$104,$I91)&amp;")"))))))</f>
        <v/>
      </c>
      <c r="H91" s="35" t="str">
        <f t="shared" ca="1" si="2"/>
        <v/>
      </c>
      <c r="I91" s="36" t="str">
        <f ca="1">IF($A91="","",MATCH($A91,Base_Altas_Recibidas!$O$5:$O$104,0))</f>
        <v/>
      </c>
    </row>
    <row r="92" spans="1:9" x14ac:dyDescent="0.25">
      <c r="A92" s="29" t="str">
        <f ca="1">IF(ROWS($A$10:$A92)&lt;=$B$5,ROWS($A$10:$A92),"")</f>
        <v/>
      </c>
      <c r="B92" s="30" t="str">
        <f ca="1">IF($A92="","",INDEX(Base_Altas_Recibidas!$A$5:$A$104,$I92))</f>
        <v/>
      </c>
      <c r="C92" s="30" t="str">
        <f ca="1">IF($A92="","",INDEX(Base_Altas_Recibidas!$C$5:$C$104,$I92))</f>
        <v/>
      </c>
      <c r="D92" s="30" t="str">
        <f ca="1">IF($A92="","",INDEX(Base_Altas_Recibidas!$D$5:$D$104,$I92))</f>
        <v/>
      </c>
      <c r="E92" s="30" t="str">
        <f ca="1">IF($A92="","",INDEX(Base_Altas_Recibidas!$E$5:$E$104,$I92))</f>
        <v/>
      </c>
      <c r="F92" s="30" t="str">
        <f ca="1">IF($A92="","",INDEX(Base_Altas_Recibidas!$K$5:$K$104,$I92))</f>
        <v/>
      </c>
      <c r="G92" s="31" t="str">
        <f ca="1">IF($A92="","",IF($F92="RECHAZADO_DATOS_INCOMPLETOS","Campos obligatorios incompletos o fecha/prima inválida",IF($F92="RECHAZADO_ID_DUPLICADO","Identificador de solicitud duplicado: "&amp;$B92,IF($F92="RECHAZADO_PLAN_NO_CATALOGADO","El plan solicitado no existe en el catálogo PIMS: "&amp;INDEX(Base_Altas_Recibidas!$H$5:$H$104,$I92),IF($F92="RECHAZADO_ELEGIBILIDAD","Edad fuera del rango definido en catálogo (18-65 como supuesto del laboratorio): "&amp;INDEX(Base_Altas_Recibidas!$G$5:$G$104,$I92)&amp;" años",IF($F92="RECHAZADO_RUT_INVALIDO",IF(OR(NOT(ISNUMBER(FIND("-",TRIM($D92)))),LEN(INDEX(Base_Altas_Recibidas!$M$5:$M$104,$I92))&lt;8,LEN(INDEX(Base_Altas_Recibidas!$M$5:$M$104,$I92))&gt;9),"Formato de RUT incompleto o inválido","Dígito verificador Módulo 11 no coincide"),"Prima informada ($"&amp;INDEX(Base_Altas_Recibidas!$I$5:$I$104,$I92)&amp;") no coincide con tarifa oficial PIMS ($"&amp;INDEX(Base_Altas_Recibidas!$J$5:$J$104,$I92)&amp;")"))))))</f>
        <v/>
      </c>
      <c r="H92" s="31" t="str">
        <f t="shared" ca="1" si="2"/>
        <v/>
      </c>
      <c r="I92" s="32" t="str">
        <f ca="1">IF($A92="","",MATCH($A92,Base_Altas_Recibidas!$O$5:$O$104,0))</f>
        <v/>
      </c>
    </row>
    <row r="93" spans="1:9" x14ac:dyDescent="0.25">
      <c r="A93" s="33" t="str">
        <f ca="1">IF(ROWS($A$10:$A93)&lt;=$B$5,ROWS($A$10:$A93),"")</f>
        <v/>
      </c>
      <c r="B93" s="34" t="str">
        <f ca="1">IF($A93="","",INDEX(Base_Altas_Recibidas!$A$5:$A$104,$I93))</f>
        <v/>
      </c>
      <c r="C93" s="34" t="str">
        <f ca="1">IF($A93="","",INDEX(Base_Altas_Recibidas!$C$5:$C$104,$I93))</f>
        <v/>
      </c>
      <c r="D93" s="34" t="str">
        <f ca="1">IF($A93="","",INDEX(Base_Altas_Recibidas!$D$5:$D$104,$I93))</f>
        <v/>
      </c>
      <c r="E93" s="34" t="str">
        <f ca="1">IF($A93="","",INDEX(Base_Altas_Recibidas!$E$5:$E$104,$I93))</f>
        <v/>
      </c>
      <c r="F93" s="34" t="str">
        <f ca="1">IF($A93="","",INDEX(Base_Altas_Recibidas!$K$5:$K$104,$I93))</f>
        <v/>
      </c>
      <c r="G93" s="35" t="str">
        <f ca="1">IF($A93="","",IF($F93="RECHAZADO_DATOS_INCOMPLETOS","Campos obligatorios incompletos o fecha/prima inválida",IF($F93="RECHAZADO_ID_DUPLICADO","Identificador de solicitud duplicado: "&amp;$B93,IF($F93="RECHAZADO_PLAN_NO_CATALOGADO","El plan solicitado no existe en el catálogo PIMS: "&amp;INDEX(Base_Altas_Recibidas!$H$5:$H$104,$I93),IF($F93="RECHAZADO_ELEGIBILIDAD","Edad fuera del rango definido en catálogo (18-65 como supuesto del laboratorio): "&amp;INDEX(Base_Altas_Recibidas!$G$5:$G$104,$I93)&amp;" años",IF($F93="RECHAZADO_RUT_INVALIDO",IF(OR(NOT(ISNUMBER(FIND("-",TRIM($D93)))),LEN(INDEX(Base_Altas_Recibidas!$M$5:$M$104,$I93))&lt;8,LEN(INDEX(Base_Altas_Recibidas!$M$5:$M$104,$I93))&gt;9),"Formato de RUT incompleto o inválido","Dígito verificador Módulo 11 no coincide"),"Prima informada ($"&amp;INDEX(Base_Altas_Recibidas!$I$5:$I$104,$I93)&amp;") no coincide con tarifa oficial PIMS ($"&amp;INDEX(Base_Altas_Recibidas!$J$5:$J$104,$I93)&amp;")"))))))</f>
        <v/>
      </c>
      <c r="H93" s="35" t="str">
        <f t="shared" ca="1" si="2"/>
        <v/>
      </c>
      <c r="I93" s="36" t="str">
        <f ca="1">IF($A93="","",MATCH($A93,Base_Altas_Recibidas!$O$5:$O$104,0))</f>
        <v/>
      </c>
    </row>
    <row r="94" spans="1:9" x14ac:dyDescent="0.25">
      <c r="A94" s="29" t="str">
        <f ca="1">IF(ROWS($A$10:$A94)&lt;=$B$5,ROWS($A$10:$A94),"")</f>
        <v/>
      </c>
      <c r="B94" s="30" t="str">
        <f ca="1">IF($A94="","",INDEX(Base_Altas_Recibidas!$A$5:$A$104,$I94))</f>
        <v/>
      </c>
      <c r="C94" s="30" t="str">
        <f ca="1">IF($A94="","",INDEX(Base_Altas_Recibidas!$C$5:$C$104,$I94))</f>
        <v/>
      </c>
      <c r="D94" s="30" t="str">
        <f ca="1">IF($A94="","",INDEX(Base_Altas_Recibidas!$D$5:$D$104,$I94))</f>
        <v/>
      </c>
      <c r="E94" s="30" t="str">
        <f ca="1">IF($A94="","",INDEX(Base_Altas_Recibidas!$E$5:$E$104,$I94))</f>
        <v/>
      </c>
      <c r="F94" s="30" t="str">
        <f ca="1">IF($A94="","",INDEX(Base_Altas_Recibidas!$K$5:$K$104,$I94))</f>
        <v/>
      </c>
      <c r="G94" s="31" t="str">
        <f ca="1">IF($A94="","",IF($F94="RECHAZADO_DATOS_INCOMPLETOS","Campos obligatorios incompletos o fecha/prima inválida",IF($F94="RECHAZADO_ID_DUPLICADO","Identificador de solicitud duplicado: "&amp;$B94,IF($F94="RECHAZADO_PLAN_NO_CATALOGADO","El plan solicitado no existe en el catálogo PIMS: "&amp;INDEX(Base_Altas_Recibidas!$H$5:$H$104,$I94),IF($F94="RECHAZADO_ELEGIBILIDAD","Edad fuera del rango definido en catálogo (18-65 como supuesto del laboratorio): "&amp;INDEX(Base_Altas_Recibidas!$G$5:$G$104,$I94)&amp;" años",IF($F94="RECHAZADO_RUT_INVALIDO",IF(OR(NOT(ISNUMBER(FIND("-",TRIM($D94)))),LEN(INDEX(Base_Altas_Recibidas!$M$5:$M$104,$I94))&lt;8,LEN(INDEX(Base_Altas_Recibidas!$M$5:$M$104,$I94))&gt;9),"Formato de RUT incompleto o inválido","Dígito verificador Módulo 11 no coincide"),"Prima informada ($"&amp;INDEX(Base_Altas_Recibidas!$I$5:$I$104,$I94)&amp;") no coincide con tarifa oficial PIMS ($"&amp;INDEX(Base_Altas_Recibidas!$J$5:$J$104,$I94)&amp;")"))))))</f>
        <v/>
      </c>
      <c r="H94" s="31" t="str">
        <f t="shared" ca="1" si="2"/>
        <v/>
      </c>
      <c r="I94" s="32" t="str">
        <f ca="1">IF($A94="","",MATCH($A94,Base_Altas_Recibidas!$O$5:$O$104,0))</f>
        <v/>
      </c>
    </row>
    <row r="95" spans="1:9" x14ac:dyDescent="0.25">
      <c r="A95" s="33" t="str">
        <f ca="1">IF(ROWS($A$10:$A95)&lt;=$B$5,ROWS($A$10:$A95),"")</f>
        <v/>
      </c>
      <c r="B95" s="34" t="str">
        <f ca="1">IF($A95="","",INDEX(Base_Altas_Recibidas!$A$5:$A$104,$I95))</f>
        <v/>
      </c>
      <c r="C95" s="34" t="str">
        <f ca="1">IF($A95="","",INDEX(Base_Altas_Recibidas!$C$5:$C$104,$I95))</f>
        <v/>
      </c>
      <c r="D95" s="34" t="str">
        <f ca="1">IF($A95="","",INDEX(Base_Altas_Recibidas!$D$5:$D$104,$I95))</f>
        <v/>
      </c>
      <c r="E95" s="34" t="str">
        <f ca="1">IF($A95="","",INDEX(Base_Altas_Recibidas!$E$5:$E$104,$I95))</f>
        <v/>
      </c>
      <c r="F95" s="34" t="str">
        <f ca="1">IF($A95="","",INDEX(Base_Altas_Recibidas!$K$5:$K$104,$I95))</f>
        <v/>
      </c>
      <c r="G95" s="35" t="str">
        <f ca="1">IF($A95="","",IF($F95="RECHAZADO_DATOS_INCOMPLETOS","Campos obligatorios incompletos o fecha/prima inválida",IF($F95="RECHAZADO_ID_DUPLICADO","Identificador de solicitud duplicado: "&amp;$B95,IF($F95="RECHAZADO_PLAN_NO_CATALOGADO","El plan solicitado no existe en el catálogo PIMS: "&amp;INDEX(Base_Altas_Recibidas!$H$5:$H$104,$I95),IF($F95="RECHAZADO_ELEGIBILIDAD","Edad fuera del rango definido en catálogo (18-65 como supuesto del laboratorio): "&amp;INDEX(Base_Altas_Recibidas!$G$5:$G$104,$I95)&amp;" años",IF($F95="RECHAZADO_RUT_INVALIDO",IF(OR(NOT(ISNUMBER(FIND("-",TRIM($D95)))),LEN(INDEX(Base_Altas_Recibidas!$M$5:$M$104,$I95))&lt;8,LEN(INDEX(Base_Altas_Recibidas!$M$5:$M$104,$I95))&gt;9),"Formato de RUT incompleto o inválido","Dígito verificador Módulo 11 no coincide"),"Prima informada ($"&amp;INDEX(Base_Altas_Recibidas!$I$5:$I$104,$I95)&amp;") no coincide con tarifa oficial PIMS ($"&amp;INDEX(Base_Altas_Recibidas!$J$5:$J$104,$I95)&amp;")"))))))</f>
        <v/>
      </c>
      <c r="H95" s="35" t="str">
        <f t="shared" ca="1" si="2"/>
        <v/>
      </c>
      <c r="I95" s="36" t="str">
        <f ca="1">IF($A95="","",MATCH($A95,Base_Altas_Recibidas!$O$5:$O$104,0))</f>
        <v/>
      </c>
    </row>
    <row r="96" spans="1:9" x14ac:dyDescent="0.25">
      <c r="A96" s="29" t="str">
        <f ca="1">IF(ROWS($A$10:$A96)&lt;=$B$5,ROWS($A$10:$A96),"")</f>
        <v/>
      </c>
      <c r="B96" s="30" t="str">
        <f ca="1">IF($A96="","",INDEX(Base_Altas_Recibidas!$A$5:$A$104,$I96))</f>
        <v/>
      </c>
      <c r="C96" s="30" t="str">
        <f ca="1">IF($A96="","",INDEX(Base_Altas_Recibidas!$C$5:$C$104,$I96))</f>
        <v/>
      </c>
      <c r="D96" s="30" t="str">
        <f ca="1">IF($A96="","",INDEX(Base_Altas_Recibidas!$D$5:$D$104,$I96))</f>
        <v/>
      </c>
      <c r="E96" s="30" t="str">
        <f ca="1">IF($A96="","",INDEX(Base_Altas_Recibidas!$E$5:$E$104,$I96))</f>
        <v/>
      </c>
      <c r="F96" s="30" t="str">
        <f ca="1">IF($A96="","",INDEX(Base_Altas_Recibidas!$K$5:$K$104,$I96))</f>
        <v/>
      </c>
      <c r="G96" s="31" t="str">
        <f ca="1">IF($A96="","",IF($F96="RECHAZADO_DATOS_INCOMPLETOS","Campos obligatorios incompletos o fecha/prima inválida",IF($F96="RECHAZADO_ID_DUPLICADO","Identificador de solicitud duplicado: "&amp;$B96,IF($F96="RECHAZADO_PLAN_NO_CATALOGADO","El plan solicitado no existe en el catálogo PIMS: "&amp;INDEX(Base_Altas_Recibidas!$H$5:$H$104,$I96),IF($F96="RECHAZADO_ELEGIBILIDAD","Edad fuera del rango definido en catálogo (18-65 como supuesto del laboratorio): "&amp;INDEX(Base_Altas_Recibidas!$G$5:$G$104,$I96)&amp;" años",IF($F96="RECHAZADO_RUT_INVALIDO",IF(OR(NOT(ISNUMBER(FIND("-",TRIM($D96)))),LEN(INDEX(Base_Altas_Recibidas!$M$5:$M$104,$I96))&lt;8,LEN(INDEX(Base_Altas_Recibidas!$M$5:$M$104,$I96))&gt;9),"Formato de RUT incompleto o inválido","Dígito verificador Módulo 11 no coincide"),"Prima informada ($"&amp;INDEX(Base_Altas_Recibidas!$I$5:$I$104,$I96)&amp;") no coincide con tarifa oficial PIMS ($"&amp;INDEX(Base_Altas_Recibidas!$J$5:$J$104,$I96)&amp;")"))))))</f>
        <v/>
      </c>
      <c r="H96" s="31" t="str">
        <f t="shared" ca="1" si="2"/>
        <v/>
      </c>
      <c r="I96" s="32" t="str">
        <f ca="1">IF($A96="","",MATCH($A96,Base_Altas_Recibidas!$O$5:$O$104,0))</f>
        <v/>
      </c>
    </row>
    <row r="97" spans="1:12" x14ac:dyDescent="0.25">
      <c r="A97" s="33" t="str">
        <f ca="1">IF(ROWS($A$10:$A97)&lt;=$B$5,ROWS($A$10:$A97),"")</f>
        <v/>
      </c>
      <c r="B97" s="34" t="str">
        <f ca="1">IF($A97="","",INDEX(Base_Altas_Recibidas!$A$5:$A$104,$I97))</f>
        <v/>
      </c>
      <c r="C97" s="34" t="str">
        <f ca="1">IF($A97="","",INDEX(Base_Altas_Recibidas!$C$5:$C$104,$I97))</f>
        <v/>
      </c>
      <c r="D97" s="34" t="str">
        <f ca="1">IF($A97="","",INDEX(Base_Altas_Recibidas!$D$5:$D$104,$I97))</f>
        <v/>
      </c>
      <c r="E97" s="34" t="str">
        <f ca="1">IF($A97="","",INDEX(Base_Altas_Recibidas!$E$5:$E$104,$I97))</f>
        <v/>
      </c>
      <c r="F97" s="34" t="str">
        <f ca="1">IF($A97="","",INDEX(Base_Altas_Recibidas!$K$5:$K$104,$I97))</f>
        <v/>
      </c>
      <c r="G97" s="35" t="str">
        <f ca="1">IF($A97="","",IF($F97="RECHAZADO_DATOS_INCOMPLETOS","Campos obligatorios incompletos o fecha/prima inválida",IF($F97="RECHAZADO_ID_DUPLICADO","Identificador de solicitud duplicado: "&amp;$B97,IF($F97="RECHAZADO_PLAN_NO_CATALOGADO","El plan solicitado no existe en el catálogo PIMS: "&amp;INDEX(Base_Altas_Recibidas!$H$5:$H$104,$I97),IF($F97="RECHAZADO_ELEGIBILIDAD","Edad fuera del rango definido en catálogo (18-65 como supuesto del laboratorio): "&amp;INDEX(Base_Altas_Recibidas!$G$5:$G$104,$I97)&amp;" años",IF($F97="RECHAZADO_RUT_INVALIDO",IF(OR(NOT(ISNUMBER(FIND("-",TRIM($D97)))),LEN(INDEX(Base_Altas_Recibidas!$M$5:$M$104,$I97))&lt;8,LEN(INDEX(Base_Altas_Recibidas!$M$5:$M$104,$I97))&gt;9),"Formato de RUT incompleto o inválido","Dígito verificador Módulo 11 no coincide"),"Prima informada ($"&amp;INDEX(Base_Altas_Recibidas!$I$5:$I$104,$I97)&amp;") no coincide con tarifa oficial PIMS ($"&amp;INDEX(Base_Altas_Recibidas!$J$5:$J$104,$I97)&amp;")"))))))</f>
        <v/>
      </c>
      <c r="H97" s="35" t="str">
        <f t="shared" ca="1" si="2"/>
        <v/>
      </c>
      <c r="I97" s="36" t="str">
        <f ca="1">IF($A97="","",MATCH($A97,Base_Altas_Recibidas!$O$5:$O$104,0))</f>
        <v/>
      </c>
    </row>
    <row r="98" spans="1:12" x14ac:dyDescent="0.25">
      <c r="A98" s="29" t="str">
        <f ca="1">IF(ROWS($A$10:$A98)&lt;=$B$5,ROWS($A$10:$A98),"")</f>
        <v/>
      </c>
      <c r="B98" s="30" t="str">
        <f ca="1">IF($A98="","",INDEX(Base_Altas_Recibidas!$A$5:$A$104,$I98))</f>
        <v/>
      </c>
      <c r="C98" s="30" t="str">
        <f ca="1">IF($A98="","",INDEX(Base_Altas_Recibidas!$C$5:$C$104,$I98))</f>
        <v/>
      </c>
      <c r="D98" s="30" t="str">
        <f ca="1">IF($A98="","",INDEX(Base_Altas_Recibidas!$D$5:$D$104,$I98))</f>
        <v/>
      </c>
      <c r="E98" s="30" t="str">
        <f ca="1">IF($A98="","",INDEX(Base_Altas_Recibidas!$E$5:$E$104,$I98))</f>
        <v/>
      </c>
      <c r="F98" s="30" t="str">
        <f ca="1">IF($A98="","",INDEX(Base_Altas_Recibidas!$K$5:$K$104,$I98))</f>
        <v/>
      </c>
      <c r="G98" s="31" t="str">
        <f ca="1">IF($A98="","",IF($F98="RECHAZADO_DATOS_INCOMPLETOS","Campos obligatorios incompletos o fecha/prima inválida",IF($F98="RECHAZADO_ID_DUPLICADO","Identificador de solicitud duplicado: "&amp;$B98,IF($F98="RECHAZADO_PLAN_NO_CATALOGADO","El plan solicitado no existe en el catálogo PIMS: "&amp;INDEX(Base_Altas_Recibidas!$H$5:$H$104,$I98),IF($F98="RECHAZADO_ELEGIBILIDAD","Edad fuera del rango definido en catálogo (18-65 como supuesto del laboratorio): "&amp;INDEX(Base_Altas_Recibidas!$G$5:$G$104,$I98)&amp;" años",IF($F98="RECHAZADO_RUT_INVALIDO",IF(OR(NOT(ISNUMBER(FIND("-",TRIM($D98)))),LEN(INDEX(Base_Altas_Recibidas!$M$5:$M$104,$I98))&lt;8,LEN(INDEX(Base_Altas_Recibidas!$M$5:$M$104,$I98))&gt;9),"Formato de RUT incompleto o inválido","Dígito verificador Módulo 11 no coincide"),"Prima informada ($"&amp;INDEX(Base_Altas_Recibidas!$I$5:$I$104,$I98)&amp;") no coincide con tarifa oficial PIMS ($"&amp;INDEX(Base_Altas_Recibidas!$J$5:$J$104,$I98)&amp;")"))))))</f>
        <v/>
      </c>
      <c r="H98" s="31" t="str">
        <f t="shared" ca="1" si="2"/>
        <v/>
      </c>
      <c r="I98" s="32" t="str">
        <f ca="1">IF($A98="","",MATCH($A98,Base_Altas_Recibidas!$O$5:$O$104,0))</f>
        <v/>
      </c>
    </row>
    <row r="99" spans="1:12" x14ac:dyDescent="0.25">
      <c r="A99" s="33" t="str">
        <f ca="1">IF(ROWS($A$10:$A99)&lt;=$B$5,ROWS($A$10:$A99),"")</f>
        <v/>
      </c>
      <c r="B99" s="34" t="str">
        <f ca="1">IF($A99="","",INDEX(Base_Altas_Recibidas!$A$5:$A$104,$I99))</f>
        <v/>
      </c>
      <c r="C99" s="34" t="str">
        <f ca="1">IF($A99="","",INDEX(Base_Altas_Recibidas!$C$5:$C$104,$I99))</f>
        <v/>
      </c>
      <c r="D99" s="34" t="str">
        <f ca="1">IF($A99="","",INDEX(Base_Altas_Recibidas!$D$5:$D$104,$I99))</f>
        <v/>
      </c>
      <c r="E99" s="34" t="str">
        <f ca="1">IF($A99="","",INDEX(Base_Altas_Recibidas!$E$5:$E$104,$I99))</f>
        <v/>
      </c>
      <c r="F99" s="34" t="str">
        <f ca="1">IF($A99="","",INDEX(Base_Altas_Recibidas!$K$5:$K$104,$I99))</f>
        <v/>
      </c>
      <c r="G99" s="35" t="str">
        <f ca="1">IF($A99="","",IF($F99="RECHAZADO_DATOS_INCOMPLETOS","Campos obligatorios incompletos o fecha/prima inválida",IF($F99="RECHAZADO_ID_DUPLICADO","Identificador de solicitud duplicado: "&amp;$B99,IF($F99="RECHAZADO_PLAN_NO_CATALOGADO","El plan solicitado no existe en el catálogo PIMS: "&amp;INDEX(Base_Altas_Recibidas!$H$5:$H$104,$I99),IF($F99="RECHAZADO_ELEGIBILIDAD","Edad fuera del rango definido en catálogo (18-65 como supuesto del laboratorio): "&amp;INDEX(Base_Altas_Recibidas!$G$5:$G$104,$I99)&amp;" años",IF($F99="RECHAZADO_RUT_INVALIDO",IF(OR(NOT(ISNUMBER(FIND("-",TRIM($D99)))),LEN(INDEX(Base_Altas_Recibidas!$M$5:$M$104,$I99))&lt;8,LEN(INDEX(Base_Altas_Recibidas!$M$5:$M$104,$I99))&gt;9),"Formato de RUT incompleto o inválido","Dígito verificador Módulo 11 no coincide"),"Prima informada ($"&amp;INDEX(Base_Altas_Recibidas!$I$5:$I$104,$I99)&amp;") no coincide con tarifa oficial PIMS ($"&amp;INDEX(Base_Altas_Recibidas!$J$5:$J$104,$I99)&amp;")"))))))</f>
        <v/>
      </c>
      <c r="H99" s="35" t="str">
        <f t="shared" ca="1" si="2"/>
        <v/>
      </c>
      <c r="I99" s="36" t="str">
        <f ca="1">IF($A99="","",MATCH($A99,Base_Altas_Recibidas!$O$5:$O$104,0))</f>
        <v/>
      </c>
    </row>
    <row r="100" spans="1:12" x14ac:dyDescent="0.25">
      <c r="A100" s="29" t="str">
        <f ca="1">IF(ROWS($A$10:$A100)&lt;=$B$5,ROWS($A$10:$A100),"")</f>
        <v/>
      </c>
      <c r="B100" s="30" t="str">
        <f ca="1">IF($A100="","",INDEX(Base_Altas_Recibidas!$A$5:$A$104,$I100))</f>
        <v/>
      </c>
      <c r="C100" s="30" t="str">
        <f ca="1">IF($A100="","",INDEX(Base_Altas_Recibidas!$C$5:$C$104,$I100))</f>
        <v/>
      </c>
      <c r="D100" s="30" t="str">
        <f ca="1">IF($A100="","",INDEX(Base_Altas_Recibidas!$D$5:$D$104,$I100))</f>
        <v/>
      </c>
      <c r="E100" s="30" t="str">
        <f ca="1">IF($A100="","",INDEX(Base_Altas_Recibidas!$E$5:$E$104,$I100))</f>
        <v/>
      </c>
      <c r="F100" s="30" t="str">
        <f ca="1">IF($A100="","",INDEX(Base_Altas_Recibidas!$K$5:$K$104,$I100))</f>
        <v/>
      </c>
      <c r="G100" s="31" t="str">
        <f ca="1">IF($A100="","",IF($F100="RECHAZADO_DATOS_INCOMPLETOS","Campos obligatorios incompletos o fecha/prima inválida",IF($F100="RECHAZADO_ID_DUPLICADO","Identificador de solicitud duplicado: "&amp;$B100,IF($F100="RECHAZADO_PLAN_NO_CATALOGADO","El plan solicitado no existe en el catálogo PIMS: "&amp;INDEX(Base_Altas_Recibidas!$H$5:$H$104,$I100),IF($F100="RECHAZADO_ELEGIBILIDAD","Edad fuera del rango definido en catálogo (18-65 como supuesto del laboratorio): "&amp;INDEX(Base_Altas_Recibidas!$G$5:$G$104,$I100)&amp;" años",IF($F100="RECHAZADO_RUT_INVALIDO",IF(OR(NOT(ISNUMBER(FIND("-",TRIM($D100)))),LEN(INDEX(Base_Altas_Recibidas!$M$5:$M$104,$I100))&lt;8,LEN(INDEX(Base_Altas_Recibidas!$M$5:$M$104,$I100))&gt;9),"Formato de RUT incompleto o inválido","Dígito verificador Módulo 11 no coincide"),"Prima informada ($"&amp;INDEX(Base_Altas_Recibidas!$I$5:$I$104,$I100)&amp;") no coincide con tarifa oficial PIMS ($"&amp;INDEX(Base_Altas_Recibidas!$J$5:$J$104,$I100)&amp;")"))))))</f>
        <v/>
      </c>
      <c r="H100" s="31" t="str">
        <f t="shared" ca="1" si="2"/>
        <v/>
      </c>
      <c r="I100" s="32" t="str">
        <f ca="1">IF($A100="","",MATCH($A100,Base_Altas_Recibidas!$O$5:$O$104,0))</f>
        <v/>
      </c>
    </row>
    <row r="101" spans="1:12" x14ac:dyDescent="0.25">
      <c r="A101" s="33" t="str">
        <f ca="1">IF(ROWS($A$10:$A101)&lt;=$B$5,ROWS($A$10:$A101),"")</f>
        <v/>
      </c>
      <c r="B101" s="34" t="str">
        <f ca="1">IF($A101="","",INDEX(Base_Altas_Recibidas!$A$5:$A$104,$I101))</f>
        <v/>
      </c>
      <c r="C101" s="34" t="str">
        <f ca="1">IF($A101="","",INDEX(Base_Altas_Recibidas!$C$5:$C$104,$I101))</f>
        <v/>
      </c>
      <c r="D101" s="34" t="str">
        <f ca="1">IF($A101="","",INDEX(Base_Altas_Recibidas!$D$5:$D$104,$I101))</f>
        <v/>
      </c>
      <c r="E101" s="34" t="str">
        <f ca="1">IF($A101="","",INDEX(Base_Altas_Recibidas!$E$5:$E$104,$I101))</f>
        <v/>
      </c>
      <c r="F101" s="34" t="str">
        <f ca="1">IF($A101="","",INDEX(Base_Altas_Recibidas!$K$5:$K$104,$I101))</f>
        <v/>
      </c>
      <c r="G101" s="35" t="str">
        <f ca="1">IF($A101="","",IF($F101="RECHAZADO_DATOS_INCOMPLETOS","Campos obligatorios incompletos o fecha/prima inválida",IF($F101="RECHAZADO_ID_DUPLICADO","Identificador de solicitud duplicado: "&amp;$B101,IF($F101="RECHAZADO_PLAN_NO_CATALOGADO","El plan solicitado no existe en el catálogo PIMS: "&amp;INDEX(Base_Altas_Recibidas!$H$5:$H$104,$I101),IF($F101="RECHAZADO_ELEGIBILIDAD","Edad fuera del rango definido en catálogo (18-65 como supuesto del laboratorio): "&amp;INDEX(Base_Altas_Recibidas!$G$5:$G$104,$I101)&amp;" años",IF($F101="RECHAZADO_RUT_INVALIDO",IF(OR(NOT(ISNUMBER(FIND("-",TRIM($D101)))),LEN(INDEX(Base_Altas_Recibidas!$M$5:$M$104,$I101))&lt;8,LEN(INDEX(Base_Altas_Recibidas!$M$5:$M$104,$I101))&gt;9),"Formato de RUT incompleto o inválido","Dígito verificador Módulo 11 no coincide"),"Prima informada ($"&amp;INDEX(Base_Altas_Recibidas!$I$5:$I$104,$I101)&amp;") no coincide con tarifa oficial PIMS ($"&amp;INDEX(Base_Altas_Recibidas!$J$5:$J$104,$I101)&amp;")"))))))</f>
        <v/>
      </c>
      <c r="H101" s="35" t="str">
        <f t="shared" ca="1" si="2"/>
        <v/>
      </c>
      <c r="I101" s="36" t="str">
        <f ca="1">IF($A101="","",MATCH($A101,Base_Altas_Recibidas!$O$5:$O$104,0))</f>
        <v/>
      </c>
    </row>
    <row r="102" spans="1:12" x14ac:dyDescent="0.25">
      <c r="A102" s="29" t="str">
        <f ca="1">IF(ROWS($A$10:$A102)&lt;=$B$5,ROWS($A$10:$A102),"")</f>
        <v/>
      </c>
      <c r="B102" s="30" t="str">
        <f ca="1">IF($A102="","",INDEX(Base_Altas_Recibidas!$A$5:$A$104,$I102))</f>
        <v/>
      </c>
      <c r="C102" s="30" t="str">
        <f ca="1">IF($A102="","",INDEX(Base_Altas_Recibidas!$C$5:$C$104,$I102))</f>
        <v/>
      </c>
      <c r="D102" s="30" t="str">
        <f ca="1">IF($A102="","",INDEX(Base_Altas_Recibidas!$D$5:$D$104,$I102))</f>
        <v/>
      </c>
      <c r="E102" s="30" t="str">
        <f ca="1">IF($A102="","",INDEX(Base_Altas_Recibidas!$E$5:$E$104,$I102))</f>
        <v/>
      </c>
      <c r="F102" s="30" t="str">
        <f ca="1">IF($A102="","",INDEX(Base_Altas_Recibidas!$K$5:$K$104,$I102))</f>
        <v/>
      </c>
      <c r="G102" s="31" t="str">
        <f ca="1">IF($A102="","",IF($F102="RECHAZADO_DATOS_INCOMPLETOS","Campos obligatorios incompletos o fecha/prima inválida",IF($F102="RECHAZADO_ID_DUPLICADO","Identificador de solicitud duplicado: "&amp;$B102,IF($F102="RECHAZADO_PLAN_NO_CATALOGADO","El plan solicitado no existe en el catálogo PIMS: "&amp;INDEX(Base_Altas_Recibidas!$H$5:$H$104,$I102),IF($F102="RECHAZADO_ELEGIBILIDAD","Edad fuera del rango definido en catálogo (18-65 como supuesto del laboratorio): "&amp;INDEX(Base_Altas_Recibidas!$G$5:$G$104,$I102)&amp;" años",IF($F102="RECHAZADO_RUT_INVALIDO",IF(OR(NOT(ISNUMBER(FIND("-",TRIM($D102)))),LEN(INDEX(Base_Altas_Recibidas!$M$5:$M$104,$I102))&lt;8,LEN(INDEX(Base_Altas_Recibidas!$M$5:$M$104,$I102))&gt;9),"Formato de RUT incompleto o inválido","Dígito verificador Módulo 11 no coincide"),"Prima informada ($"&amp;INDEX(Base_Altas_Recibidas!$I$5:$I$104,$I102)&amp;") no coincide con tarifa oficial PIMS ($"&amp;INDEX(Base_Altas_Recibidas!$J$5:$J$104,$I102)&amp;")"))))))</f>
        <v/>
      </c>
      <c r="H102" s="31" t="str">
        <f t="shared" ca="1" si="2"/>
        <v/>
      </c>
      <c r="I102" s="32" t="str">
        <f ca="1">IF($A102="","",MATCH($A102,Base_Altas_Recibidas!$O$5:$O$104,0))</f>
        <v/>
      </c>
    </row>
    <row r="103" spans="1:12" x14ac:dyDescent="0.25">
      <c r="A103" s="33" t="str">
        <f ca="1">IF(ROWS($A$10:$A103)&lt;=$B$5,ROWS($A$10:$A103),"")</f>
        <v/>
      </c>
      <c r="B103" s="34" t="str">
        <f ca="1">IF($A103="","",INDEX(Base_Altas_Recibidas!$A$5:$A$104,$I103))</f>
        <v/>
      </c>
      <c r="C103" s="34" t="str">
        <f ca="1">IF($A103="","",INDEX(Base_Altas_Recibidas!$C$5:$C$104,$I103))</f>
        <v/>
      </c>
      <c r="D103" s="34" t="str">
        <f ca="1">IF($A103="","",INDEX(Base_Altas_Recibidas!$D$5:$D$104,$I103))</f>
        <v/>
      </c>
      <c r="E103" s="34" t="str">
        <f ca="1">IF($A103="","",INDEX(Base_Altas_Recibidas!$E$5:$E$104,$I103))</f>
        <v/>
      </c>
      <c r="F103" s="34" t="str">
        <f ca="1">IF($A103="","",INDEX(Base_Altas_Recibidas!$K$5:$K$104,$I103))</f>
        <v/>
      </c>
      <c r="G103" s="35" t="str">
        <f ca="1">IF($A103="","",IF($F103="RECHAZADO_DATOS_INCOMPLETOS","Campos obligatorios incompletos o fecha/prima inválida",IF($F103="RECHAZADO_ID_DUPLICADO","Identificador de solicitud duplicado: "&amp;$B103,IF($F103="RECHAZADO_PLAN_NO_CATALOGADO","El plan solicitado no existe en el catálogo PIMS: "&amp;INDEX(Base_Altas_Recibidas!$H$5:$H$104,$I103),IF($F103="RECHAZADO_ELEGIBILIDAD","Edad fuera del rango definido en catálogo (18-65 como supuesto del laboratorio): "&amp;INDEX(Base_Altas_Recibidas!$G$5:$G$104,$I103)&amp;" años",IF($F103="RECHAZADO_RUT_INVALIDO",IF(OR(NOT(ISNUMBER(FIND("-",TRIM($D103)))),LEN(INDEX(Base_Altas_Recibidas!$M$5:$M$104,$I103))&lt;8,LEN(INDEX(Base_Altas_Recibidas!$M$5:$M$104,$I103))&gt;9),"Formato de RUT incompleto o inválido","Dígito verificador Módulo 11 no coincide"),"Prima informada ($"&amp;INDEX(Base_Altas_Recibidas!$I$5:$I$104,$I103)&amp;") no coincide con tarifa oficial PIMS ($"&amp;INDEX(Base_Altas_Recibidas!$J$5:$J$104,$I103)&amp;")"))))))</f>
        <v/>
      </c>
      <c r="H103" s="35" t="str">
        <f t="shared" ca="1" si="2"/>
        <v/>
      </c>
      <c r="I103" s="36" t="str">
        <f ca="1">IF($A103="","",MATCH($A103,Base_Altas_Recibidas!$O$5:$O$104,0))</f>
        <v/>
      </c>
    </row>
    <row r="104" spans="1:12" x14ac:dyDescent="0.25">
      <c r="A104" s="29" t="str">
        <f ca="1">IF(ROWS($A$10:$A104)&lt;=$B$5,ROWS($A$10:$A104),"")</f>
        <v/>
      </c>
      <c r="B104" s="30" t="str">
        <f ca="1">IF($A104="","",INDEX(Base_Altas_Recibidas!$A$5:$A$104,$I104))</f>
        <v/>
      </c>
      <c r="C104" s="30" t="str">
        <f ca="1">IF($A104="","",INDEX(Base_Altas_Recibidas!$C$5:$C$104,$I104))</f>
        <v/>
      </c>
      <c r="D104" s="30" t="str">
        <f ca="1">IF($A104="","",INDEX(Base_Altas_Recibidas!$D$5:$D$104,$I104))</f>
        <v/>
      </c>
      <c r="E104" s="30" t="str">
        <f ca="1">IF($A104="","",INDEX(Base_Altas_Recibidas!$E$5:$E$104,$I104))</f>
        <v/>
      </c>
      <c r="F104" s="30" t="str">
        <f ca="1">IF($A104="","",INDEX(Base_Altas_Recibidas!$K$5:$K$104,$I104))</f>
        <v/>
      </c>
      <c r="G104" s="31" t="str">
        <f ca="1">IF($A104="","",IF($F104="RECHAZADO_DATOS_INCOMPLETOS","Campos obligatorios incompletos o fecha/prima inválida",IF($F104="RECHAZADO_ID_DUPLICADO","Identificador de solicitud duplicado: "&amp;$B104,IF($F104="RECHAZADO_PLAN_NO_CATALOGADO","El plan solicitado no existe en el catálogo PIMS: "&amp;INDEX(Base_Altas_Recibidas!$H$5:$H$104,$I104),IF($F104="RECHAZADO_ELEGIBILIDAD","Edad fuera del rango definido en catálogo (18-65 como supuesto del laboratorio): "&amp;INDEX(Base_Altas_Recibidas!$G$5:$G$104,$I104)&amp;" años",IF($F104="RECHAZADO_RUT_INVALIDO",IF(OR(NOT(ISNUMBER(FIND("-",TRIM($D104)))),LEN(INDEX(Base_Altas_Recibidas!$M$5:$M$104,$I104))&lt;8,LEN(INDEX(Base_Altas_Recibidas!$M$5:$M$104,$I104))&gt;9),"Formato de RUT incompleto o inválido","Dígito verificador Módulo 11 no coincide"),"Prima informada ($"&amp;INDEX(Base_Altas_Recibidas!$I$5:$I$104,$I104)&amp;") no coincide con tarifa oficial PIMS ($"&amp;INDEX(Base_Altas_Recibidas!$J$5:$J$104,$I104)&amp;")"))))))</f>
        <v/>
      </c>
      <c r="H104" s="31" t="str">
        <f t="shared" ca="1" si="2"/>
        <v/>
      </c>
      <c r="I104" s="32" t="str">
        <f ca="1">IF($A104="","",MATCH($A104,Base_Altas_Recibidas!$O$5:$O$104,0))</f>
        <v/>
      </c>
    </row>
    <row r="105" spans="1:12" x14ac:dyDescent="0.25">
      <c r="A105" s="33" t="str">
        <f ca="1">IF(ROWS($A$10:$A105)&lt;=$B$5,ROWS($A$10:$A105),"")</f>
        <v/>
      </c>
      <c r="B105" s="34" t="str">
        <f ca="1">IF($A105="","",INDEX(Base_Altas_Recibidas!$A$5:$A$104,$I105))</f>
        <v/>
      </c>
      <c r="C105" s="34" t="str">
        <f ca="1">IF($A105="","",INDEX(Base_Altas_Recibidas!$C$5:$C$104,$I105))</f>
        <v/>
      </c>
      <c r="D105" s="34" t="str">
        <f ca="1">IF($A105="","",INDEX(Base_Altas_Recibidas!$D$5:$D$104,$I105))</f>
        <v/>
      </c>
      <c r="E105" s="34" t="str">
        <f ca="1">IF($A105="","",INDEX(Base_Altas_Recibidas!$E$5:$E$104,$I105))</f>
        <v/>
      </c>
      <c r="F105" s="34" t="str">
        <f ca="1">IF($A105="","",INDEX(Base_Altas_Recibidas!$K$5:$K$104,$I105))</f>
        <v/>
      </c>
      <c r="G105" s="35" t="str">
        <f ca="1">IF($A105="","",IF($F105="RECHAZADO_DATOS_INCOMPLETOS","Campos obligatorios incompletos o fecha/prima inválida",IF($F105="RECHAZADO_ID_DUPLICADO","Identificador de solicitud duplicado: "&amp;$B105,IF($F105="RECHAZADO_PLAN_NO_CATALOGADO","El plan solicitado no existe en el catálogo PIMS: "&amp;INDEX(Base_Altas_Recibidas!$H$5:$H$104,$I105),IF($F105="RECHAZADO_ELEGIBILIDAD","Edad fuera del rango definido en catálogo (18-65 como supuesto del laboratorio): "&amp;INDEX(Base_Altas_Recibidas!$G$5:$G$104,$I105)&amp;" años",IF($F105="RECHAZADO_RUT_INVALIDO",IF(OR(NOT(ISNUMBER(FIND("-",TRIM($D105)))),LEN(INDEX(Base_Altas_Recibidas!$M$5:$M$104,$I105))&lt;8,LEN(INDEX(Base_Altas_Recibidas!$M$5:$M$104,$I105))&gt;9),"Formato de RUT incompleto o inválido","Dígito verificador Módulo 11 no coincide"),"Prima informada ($"&amp;INDEX(Base_Altas_Recibidas!$I$5:$I$104,$I105)&amp;") no coincide con tarifa oficial PIMS ($"&amp;INDEX(Base_Altas_Recibidas!$J$5:$J$104,$I105)&amp;")"))))))</f>
        <v/>
      </c>
      <c r="H105" s="35" t="str">
        <f t="shared" ca="1" si="2"/>
        <v/>
      </c>
      <c r="I105" s="36" t="str">
        <f ca="1">IF($A105="","",MATCH($A105,Base_Altas_Recibidas!$O$5:$O$104,0))</f>
        <v/>
      </c>
    </row>
    <row r="106" spans="1:12" x14ac:dyDescent="0.25">
      <c r="A106" s="29" t="str">
        <f ca="1">IF(ROWS($A$10:$A106)&lt;=$B$5,ROWS($A$10:$A106),"")</f>
        <v/>
      </c>
      <c r="B106" s="30" t="str">
        <f ca="1">IF($A106="","",INDEX(Base_Altas_Recibidas!$A$5:$A$104,$I106))</f>
        <v/>
      </c>
      <c r="C106" s="30" t="str">
        <f ca="1">IF($A106="","",INDEX(Base_Altas_Recibidas!$C$5:$C$104,$I106))</f>
        <v/>
      </c>
      <c r="D106" s="30" t="str">
        <f ca="1">IF($A106="","",INDEX(Base_Altas_Recibidas!$D$5:$D$104,$I106))</f>
        <v/>
      </c>
      <c r="E106" s="30" t="str">
        <f ca="1">IF($A106="","",INDEX(Base_Altas_Recibidas!$E$5:$E$104,$I106))</f>
        <v/>
      </c>
      <c r="F106" s="30" t="str">
        <f ca="1">IF($A106="","",INDEX(Base_Altas_Recibidas!$K$5:$K$104,$I106))</f>
        <v/>
      </c>
      <c r="G106" s="31" t="str">
        <f ca="1">IF($A106="","",IF($F106="RECHAZADO_DATOS_INCOMPLETOS","Campos obligatorios incompletos o fecha/prima inválida",IF($F106="RECHAZADO_ID_DUPLICADO","Identificador de solicitud duplicado: "&amp;$B106,IF($F106="RECHAZADO_PLAN_NO_CATALOGADO","El plan solicitado no existe en el catálogo PIMS: "&amp;INDEX(Base_Altas_Recibidas!$H$5:$H$104,$I106),IF($F106="RECHAZADO_ELEGIBILIDAD","Edad fuera del rango definido en catálogo (18-65 como supuesto del laboratorio): "&amp;INDEX(Base_Altas_Recibidas!$G$5:$G$104,$I106)&amp;" años",IF($F106="RECHAZADO_RUT_INVALIDO",IF(OR(NOT(ISNUMBER(FIND("-",TRIM($D106)))),LEN(INDEX(Base_Altas_Recibidas!$M$5:$M$104,$I106))&lt;8,LEN(INDEX(Base_Altas_Recibidas!$M$5:$M$104,$I106))&gt;9),"Formato de RUT incompleto o inválido","Dígito verificador Módulo 11 no coincide"),"Prima informada ($"&amp;INDEX(Base_Altas_Recibidas!$I$5:$I$104,$I106)&amp;") no coincide con tarifa oficial PIMS ($"&amp;INDEX(Base_Altas_Recibidas!$J$5:$J$104,$I106)&amp;")"))))))</f>
        <v/>
      </c>
      <c r="H106" s="31" t="str">
        <f t="shared" ca="1" si="2"/>
        <v/>
      </c>
      <c r="I106" s="32" t="str">
        <f ca="1">IF($A106="","",MATCH($A106,Base_Altas_Recibidas!$O$5:$O$104,0))</f>
        <v/>
      </c>
    </row>
    <row r="107" spans="1:12" x14ac:dyDescent="0.25">
      <c r="A107" s="33" t="str">
        <f ca="1">IF(ROWS($A$10:$A107)&lt;=$B$5,ROWS($A$10:$A107),"")</f>
        <v/>
      </c>
      <c r="B107" s="34" t="str">
        <f ca="1">IF($A107="","",INDEX(Base_Altas_Recibidas!$A$5:$A$104,$I107))</f>
        <v/>
      </c>
      <c r="C107" s="34" t="str">
        <f ca="1">IF($A107="","",INDEX(Base_Altas_Recibidas!$C$5:$C$104,$I107))</f>
        <v/>
      </c>
      <c r="D107" s="34" t="str">
        <f ca="1">IF($A107="","",INDEX(Base_Altas_Recibidas!$D$5:$D$104,$I107))</f>
        <v/>
      </c>
      <c r="E107" s="34" t="str">
        <f ca="1">IF($A107="","",INDEX(Base_Altas_Recibidas!$E$5:$E$104,$I107))</f>
        <v/>
      </c>
      <c r="F107" s="34" t="str">
        <f ca="1">IF($A107="","",INDEX(Base_Altas_Recibidas!$K$5:$K$104,$I107))</f>
        <v/>
      </c>
      <c r="G107" s="35" t="str">
        <f ca="1">IF($A107="","",IF($F107="RECHAZADO_DATOS_INCOMPLETOS","Campos obligatorios incompletos o fecha/prima inválida",IF($F107="RECHAZADO_ID_DUPLICADO","Identificador de solicitud duplicado: "&amp;$B107,IF($F107="RECHAZADO_PLAN_NO_CATALOGADO","El plan solicitado no existe en el catálogo PIMS: "&amp;INDEX(Base_Altas_Recibidas!$H$5:$H$104,$I107),IF($F107="RECHAZADO_ELEGIBILIDAD","Edad fuera del rango definido en catálogo (18-65 como supuesto del laboratorio): "&amp;INDEX(Base_Altas_Recibidas!$G$5:$G$104,$I107)&amp;" años",IF($F107="RECHAZADO_RUT_INVALIDO",IF(OR(NOT(ISNUMBER(FIND("-",TRIM($D107)))),LEN(INDEX(Base_Altas_Recibidas!$M$5:$M$104,$I107))&lt;8,LEN(INDEX(Base_Altas_Recibidas!$M$5:$M$104,$I107))&gt;9),"Formato de RUT incompleto o inválido","Dígito verificador Módulo 11 no coincide"),"Prima informada ($"&amp;INDEX(Base_Altas_Recibidas!$I$5:$I$104,$I107)&amp;") no coincide con tarifa oficial PIMS ($"&amp;INDEX(Base_Altas_Recibidas!$J$5:$J$104,$I107)&amp;")"))))))</f>
        <v/>
      </c>
      <c r="H107" s="35" t="str">
        <f t="shared" ca="1" si="2"/>
        <v/>
      </c>
      <c r="I107" s="36" t="str">
        <f ca="1">IF($A107="","",MATCH($A107,Base_Altas_Recibidas!$O$5:$O$104,0))</f>
        <v/>
      </c>
    </row>
    <row r="108" spans="1:12" x14ac:dyDescent="0.25">
      <c r="A108" s="29" t="str">
        <f ca="1">IF(ROWS($A$10:$A108)&lt;=$B$5,ROWS($A$10:$A108),"")</f>
        <v/>
      </c>
      <c r="B108" s="30" t="str">
        <f ca="1">IF($A108="","",INDEX(Base_Altas_Recibidas!$A$5:$A$104,$I108))</f>
        <v/>
      </c>
      <c r="C108" s="30" t="str">
        <f ca="1">IF($A108="","",INDEX(Base_Altas_Recibidas!$C$5:$C$104,$I108))</f>
        <v/>
      </c>
      <c r="D108" s="30" t="str">
        <f ca="1">IF($A108="","",INDEX(Base_Altas_Recibidas!$D$5:$D$104,$I108))</f>
        <v/>
      </c>
      <c r="E108" s="30" t="str">
        <f ca="1">IF($A108="","",INDEX(Base_Altas_Recibidas!$E$5:$E$104,$I108))</f>
        <v/>
      </c>
      <c r="F108" s="30" t="str">
        <f ca="1">IF($A108="","",INDEX(Base_Altas_Recibidas!$K$5:$K$104,$I108))</f>
        <v/>
      </c>
      <c r="G108" s="31" t="str">
        <f ca="1">IF($A108="","",IF($F108="RECHAZADO_DATOS_INCOMPLETOS","Campos obligatorios incompletos o fecha/prima inválida",IF($F108="RECHAZADO_ID_DUPLICADO","Identificador de solicitud duplicado: "&amp;$B108,IF($F108="RECHAZADO_PLAN_NO_CATALOGADO","El plan solicitado no existe en el catálogo PIMS: "&amp;INDEX(Base_Altas_Recibidas!$H$5:$H$104,$I108),IF($F108="RECHAZADO_ELEGIBILIDAD","Edad fuera del rango definido en catálogo (18-65 como supuesto del laboratorio): "&amp;INDEX(Base_Altas_Recibidas!$G$5:$G$104,$I108)&amp;" años",IF($F108="RECHAZADO_RUT_INVALIDO",IF(OR(NOT(ISNUMBER(FIND("-",TRIM($D108)))),LEN(INDEX(Base_Altas_Recibidas!$M$5:$M$104,$I108))&lt;8,LEN(INDEX(Base_Altas_Recibidas!$M$5:$M$104,$I108))&gt;9),"Formato de RUT incompleto o inválido","Dígito verificador Módulo 11 no coincide"),"Prima informada ($"&amp;INDEX(Base_Altas_Recibidas!$I$5:$I$104,$I108)&amp;") no coincide con tarifa oficial PIMS ($"&amp;INDEX(Base_Altas_Recibidas!$J$5:$J$104,$I108)&amp;")"))))))</f>
        <v/>
      </c>
      <c r="H108" s="31" t="str">
        <f t="shared" ca="1" si="2"/>
        <v/>
      </c>
      <c r="I108" s="32" t="str">
        <f ca="1">IF($A108="","",MATCH($A108,Base_Altas_Recibidas!$O$5:$O$104,0))</f>
        <v/>
      </c>
    </row>
    <row r="110" spans="1:12" ht="31.5" customHeight="1" x14ac:dyDescent="0.25">
      <c r="A110" s="42" t="s">
        <v>390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</row>
    <row r="111" spans="1:12" ht="24.75" customHeight="1" x14ac:dyDescent="0.2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</row>
  </sheetData>
  <autoFilter ref="A9:H108" xr:uid="{00000000-0009-0000-0000-000003000000}"/>
  <mergeCells count="13">
    <mergeCell ref="B6:C6"/>
    <mergeCell ref="D6:E6"/>
    <mergeCell ref="A7:I7"/>
    <mergeCell ref="A110:L111"/>
    <mergeCell ref="A1:L1"/>
    <mergeCell ref="B4:C4"/>
    <mergeCell ref="D4:E4"/>
    <mergeCell ref="J4:L4"/>
    <mergeCell ref="B5:C5"/>
    <mergeCell ref="D5:E5"/>
    <mergeCell ref="J5:L5"/>
    <mergeCell ref="A2:F2"/>
    <mergeCell ref="J6:L10"/>
  </mergeCells>
  <conditionalFormatting sqref="A9:I68">
    <cfRule type="expression" dxfId="8" priority="7">
      <formula>$A9&lt;&gt;""</formula>
    </cfRule>
  </conditionalFormatting>
  <conditionalFormatting sqref="F9:F68">
    <cfRule type="cellIs" dxfId="7" priority="4" operator="equal">
      <formula>"RECHAZADO_ELEGIBILIDAD"</formula>
    </cfRule>
    <cfRule type="cellIs" dxfId="6" priority="5" operator="equal">
      <formula>"RECHAZADO_RUT_INVALIDO"</formula>
    </cfRule>
    <cfRule type="cellIs" dxfId="5" priority="6" operator="equal">
      <formula>"RECHAZADO_DESCALCE_PRIMA"</formula>
    </cfRule>
  </conditionalFormatting>
  <conditionalFormatting sqref="F10:F108">
    <cfRule type="expression" dxfId="4" priority="8">
      <formula>OR(F10="RECHAZADO_ELEGIBILIDAD",F10="RECHAZADO_RUT_INVALIDO")</formula>
    </cfRule>
    <cfRule type="expression" dxfId="3" priority="9">
      <formula>F10="RECHAZADO_DESCALCE_PRIMA"</formula>
    </cfRule>
    <cfRule type="expression" dxfId="2" priority="10">
      <formula>OR(F10="RECHAZADO_DATOS_INCOMPLETOS",F10="RECHAZADO_ID_DUPLICADO",F10="RECHAZADO_PLAN_NO_CATALOGADO")</formula>
    </cfRule>
  </conditionalFormatting>
  <conditionalFormatting sqref="H5">
    <cfRule type="cellIs" dxfId="1" priority="2" operator="equal">
      <formula>"CUADRA OK"</formula>
    </cfRule>
    <cfRule type="cellIs" dxfId="0" priority="3" operator="equal">
      <formula>"REVISAR"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7109375" defaultRowHeight="15" customHeight="1" x14ac:dyDescent="0.25"/>
  <cols>
    <col min="1" max="1" width="13" customWidth="1"/>
    <col min="2" max="2" width="27" customWidth="1"/>
    <col min="3" max="3" width="42" customWidth="1"/>
    <col min="4" max="4" width="57" customWidth="1"/>
    <col min="5" max="5" width="33" customWidth="1"/>
  </cols>
  <sheetData>
    <row r="1" spans="1:5" ht="30" customHeight="1" x14ac:dyDescent="0.25">
      <c r="A1" s="58" t="s">
        <v>391</v>
      </c>
      <c r="B1" s="58"/>
      <c r="C1" s="58"/>
      <c r="D1" s="58"/>
      <c r="E1" s="58"/>
    </row>
    <row r="2" spans="1:5" ht="31.5" customHeight="1" x14ac:dyDescent="0.25">
      <c r="A2" s="59" t="s">
        <v>392</v>
      </c>
      <c r="B2" s="59"/>
      <c r="C2" s="59"/>
      <c r="D2" s="59"/>
      <c r="E2" s="59"/>
    </row>
    <row r="4" spans="1:5" x14ac:dyDescent="0.25">
      <c r="A4" s="37" t="s">
        <v>393</v>
      </c>
      <c r="B4" s="37" t="s">
        <v>394</v>
      </c>
      <c r="C4" s="37" t="s">
        <v>395</v>
      </c>
      <c r="D4" s="37" t="s">
        <v>396</v>
      </c>
      <c r="E4" s="37" t="s">
        <v>397</v>
      </c>
    </row>
    <row r="5" spans="1:5" x14ac:dyDescent="0.25">
      <c r="A5" s="38" t="s">
        <v>398</v>
      </c>
      <c r="B5" s="38" t="s">
        <v>399</v>
      </c>
      <c r="C5" s="38" t="s">
        <v>400</v>
      </c>
      <c r="D5" s="38" t="s">
        <v>401</v>
      </c>
      <c r="E5" s="38" t="s">
        <v>402</v>
      </c>
    </row>
    <row r="6" spans="1:5" x14ac:dyDescent="0.25">
      <c r="A6" s="39" t="s">
        <v>403</v>
      </c>
      <c r="B6" s="39" t="s">
        <v>404</v>
      </c>
      <c r="C6" s="39" t="s">
        <v>405</v>
      </c>
      <c r="D6" s="39" t="s">
        <v>406</v>
      </c>
      <c r="E6" s="39" t="s">
        <v>402</v>
      </c>
    </row>
    <row r="7" spans="1:5" ht="30" x14ac:dyDescent="0.25">
      <c r="A7" s="38" t="s">
        <v>407</v>
      </c>
      <c r="B7" s="38" t="s">
        <v>408</v>
      </c>
      <c r="C7" s="38" t="s">
        <v>409</v>
      </c>
      <c r="D7" s="38" t="s">
        <v>410</v>
      </c>
      <c r="E7" s="38" t="s">
        <v>402</v>
      </c>
    </row>
    <row r="8" spans="1:5" x14ac:dyDescent="0.25">
      <c r="A8" s="39" t="s">
        <v>411</v>
      </c>
      <c r="B8" s="39" t="s">
        <v>412</v>
      </c>
      <c r="C8" s="39" t="s">
        <v>413</v>
      </c>
      <c r="D8" s="39" t="s">
        <v>414</v>
      </c>
      <c r="E8" s="39" t="s">
        <v>402</v>
      </c>
    </row>
    <row r="9" spans="1:5" ht="30" x14ac:dyDescent="0.25">
      <c r="A9" s="38" t="s">
        <v>415</v>
      </c>
      <c r="B9" s="38" t="s">
        <v>416</v>
      </c>
      <c r="C9" s="38" t="s">
        <v>417</v>
      </c>
      <c r="D9" s="38" t="s">
        <v>418</v>
      </c>
      <c r="E9" s="38" t="s">
        <v>402</v>
      </c>
    </row>
    <row r="10" spans="1:5" ht="30" x14ac:dyDescent="0.25">
      <c r="A10" s="39" t="s">
        <v>419</v>
      </c>
      <c r="B10" s="39" t="s">
        <v>420</v>
      </c>
      <c r="C10" s="39" t="s">
        <v>421</v>
      </c>
      <c r="D10" s="39" t="s">
        <v>422</v>
      </c>
      <c r="E10" s="39" t="s">
        <v>402</v>
      </c>
    </row>
    <row r="11" spans="1:5" ht="30" x14ac:dyDescent="0.25">
      <c r="A11" s="38" t="s">
        <v>423</v>
      </c>
      <c r="B11" s="38" t="s">
        <v>424</v>
      </c>
      <c r="C11" s="38" t="s">
        <v>425</v>
      </c>
      <c r="D11" s="38" t="s">
        <v>418</v>
      </c>
      <c r="E11" s="38" t="s">
        <v>402</v>
      </c>
    </row>
    <row r="12" spans="1:5" ht="30" x14ac:dyDescent="0.25">
      <c r="A12" s="39" t="s">
        <v>426</v>
      </c>
      <c r="B12" s="39" t="s">
        <v>427</v>
      </c>
      <c r="C12" s="39" t="s">
        <v>428</v>
      </c>
      <c r="D12" s="39" t="s">
        <v>422</v>
      </c>
      <c r="E12" s="39" t="s">
        <v>402</v>
      </c>
    </row>
    <row r="13" spans="1:5" ht="30" x14ac:dyDescent="0.25">
      <c r="A13" s="38" t="s">
        <v>429</v>
      </c>
      <c r="B13" s="38" t="s">
        <v>430</v>
      </c>
      <c r="C13" s="38" t="s">
        <v>431</v>
      </c>
      <c r="D13" s="38" t="s">
        <v>432</v>
      </c>
      <c r="E13" s="38" t="s">
        <v>402</v>
      </c>
    </row>
    <row r="14" spans="1:5" ht="30" x14ac:dyDescent="0.25">
      <c r="A14" s="39" t="s">
        <v>433</v>
      </c>
      <c r="B14" s="39" t="s">
        <v>434</v>
      </c>
      <c r="C14" s="39" t="s">
        <v>435</v>
      </c>
      <c r="D14" s="39" t="s">
        <v>436</v>
      </c>
      <c r="E14" s="39" t="s">
        <v>402</v>
      </c>
    </row>
    <row r="15" spans="1:5" ht="30" x14ac:dyDescent="0.25">
      <c r="A15" s="38" t="s">
        <v>437</v>
      </c>
      <c r="B15" s="38" t="s">
        <v>438</v>
      </c>
      <c r="C15" s="38" t="s">
        <v>439</v>
      </c>
      <c r="D15" s="38" t="s">
        <v>440</v>
      </c>
      <c r="E15" s="38" t="s">
        <v>402</v>
      </c>
    </row>
    <row r="16" spans="1:5" x14ac:dyDescent="0.25">
      <c r="A16" s="39" t="s">
        <v>441</v>
      </c>
      <c r="B16" s="39" t="s">
        <v>442</v>
      </c>
      <c r="C16" s="39" t="s">
        <v>443</v>
      </c>
      <c r="D16" s="39" t="s">
        <v>444</v>
      </c>
      <c r="E16" s="39" t="s">
        <v>402</v>
      </c>
    </row>
    <row r="17" spans="1:5" ht="30" x14ac:dyDescent="0.25">
      <c r="A17" s="38" t="s">
        <v>445</v>
      </c>
      <c r="B17" s="38" t="s">
        <v>446</v>
      </c>
      <c r="C17" s="38" t="s">
        <v>447</v>
      </c>
      <c r="D17" s="38" t="s">
        <v>448</v>
      </c>
      <c r="E17" s="38" t="s">
        <v>402</v>
      </c>
    </row>
    <row r="18" spans="1:5" ht="30" x14ac:dyDescent="0.25">
      <c r="A18" s="39" t="s">
        <v>449</v>
      </c>
      <c r="B18" s="39" t="s">
        <v>450</v>
      </c>
      <c r="C18" s="39" t="s">
        <v>451</v>
      </c>
      <c r="D18" s="39" t="s">
        <v>452</v>
      </c>
      <c r="E18" s="39" t="s">
        <v>402</v>
      </c>
    </row>
    <row r="21" spans="1:5" x14ac:dyDescent="0.25">
      <c r="A21" s="60" t="s">
        <v>453</v>
      </c>
      <c r="B21" s="60"/>
      <c r="C21" s="60"/>
      <c r="D21" s="60"/>
      <c r="E21" s="60"/>
    </row>
    <row r="22" spans="1:5" ht="30" customHeight="1" x14ac:dyDescent="0.25">
      <c r="A22" s="56" t="s">
        <v>454</v>
      </c>
      <c r="B22" s="56"/>
      <c r="C22" s="56"/>
      <c r="D22" s="56"/>
      <c r="E22" s="56"/>
    </row>
    <row r="23" spans="1:5" ht="30" customHeight="1" x14ac:dyDescent="0.25">
      <c r="A23" s="57" t="s">
        <v>455</v>
      </c>
      <c r="B23" s="57"/>
      <c r="C23" s="57"/>
      <c r="D23" s="57"/>
      <c r="E23" s="57"/>
    </row>
    <row r="24" spans="1:5" ht="30" customHeight="1" x14ac:dyDescent="0.25">
      <c r="A24" s="56" t="s">
        <v>456</v>
      </c>
      <c r="B24" s="56"/>
      <c r="C24" s="56"/>
      <c r="D24" s="56"/>
      <c r="E24" s="56"/>
    </row>
    <row r="25" spans="1:5" ht="30" customHeight="1" x14ac:dyDescent="0.25">
      <c r="A25" s="57" t="s">
        <v>457</v>
      </c>
      <c r="B25" s="57"/>
      <c r="C25" s="57"/>
      <c r="D25" s="57"/>
      <c r="E25" s="57"/>
    </row>
    <row r="26" spans="1:5" ht="30" customHeight="1" x14ac:dyDescent="0.25">
      <c r="A26" s="56" t="s">
        <v>458</v>
      </c>
      <c r="B26" s="56"/>
      <c r="C26" s="56"/>
      <c r="D26" s="56"/>
      <c r="E26" s="56"/>
    </row>
    <row r="27" spans="1:5" ht="30" customHeight="1" x14ac:dyDescent="0.25">
      <c r="A27" s="57" t="s">
        <v>459</v>
      </c>
      <c r="B27" s="57"/>
      <c r="C27" s="57"/>
      <c r="D27" s="57"/>
      <c r="E27" s="57"/>
    </row>
  </sheetData>
  <autoFilter ref="A4:E18" xr:uid="{00000000-0009-0000-0000-000004000000}"/>
  <mergeCells count="9">
    <mergeCell ref="A24:E24"/>
    <mergeCell ref="A25:E25"/>
    <mergeCell ref="A26:E26"/>
    <mergeCell ref="A27:E27"/>
    <mergeCell ref="A1:E1"/>
    <mergeCell ref="A2:E2"/>
    <mergeCell ref="A21:E21"/>
    <mergeCell ref="A22:E22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Base_Altas_Recibidas</vt:lpstr>
      <vt:lpstr>Catalogo_Planes_PIMS</vt:lpstr>
      <vt:lpstr>Dashboard_Cuadratura_Diaria</vt:lpstr>
      <vt:lpstr>Auditoria_Rechazos_PIMS</vt:lpstr>
      <vt:lpstr>Pruebas_Control</vt:lpstr>
      <vt:lpstr>Auditoria_Rechazos_PIMS!Títulos_a_imprimir</vt:lpstr>
      <vt:lpstr>Base_Altas_Recibidas!Títulos_a_imprimir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Ramon Muñoz Osorio</cp:lastModifiedBy>
  <dcterms:modified xsi:type="dcterms:W3CDTF">2026-10-12T01:48:40Z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2026-10-12T00:01:54Z</dcterms:created>
  <dc:creator>openpyxl</dc:creator>
  <dc:description/>
  <dc:language>en-US</dc:language>
  <cp:lastModifiedBy>Ramon Muñoz Osorio</cp:lastModifiedBy>
  <dcterms:modified xsi:type="dcterms:W3CDTF">2026-10-12T01:22:20Z</dcterms:modified>
  <cp:revision>1</cp:revision>
  <dc:subject/>
  <dc:title/>
</cp:coreProperties>
</file>