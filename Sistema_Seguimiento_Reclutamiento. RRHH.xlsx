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DUCACION\ENTRENAMIENTO IA\GITHUB PORTAFOLIOS\Caso 2 Reclutador\"/>
    </mc:Choice>
  </mc:AlternateContent>
  <xr:revisionPtr revIDLastSave="0" documentId="13_ncr:1_{84CAF06C-60F8-4F9C-9ED1-5045DCF42B8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RAMETROS" sheetId="1" r:id="rId1"/>
    <sheet name="VACANTES" sheetId="2" r:id="rId2"/>
    <sheet name="CANDIDATOS" sheetId="3" r:id="rId3"/>
    <sheet name="DASHBOARD" sheetId="4" r:id="rId4"/>
    <sheet name="PRUEBAS" sheetId="5" r:id="rId5"/>
  </sheets>
  <definedNames>
    <definedName name="_xlnm._FilterDatabase" localSheetId="2" hidden="1">CANDIDATOS!$A$1:$M$1000</definedName>
    <definedName name="_xlnm._FilterDatabase" localSheetId="4" hidden="1">PRUEBAS!$A$1:$F$13</definedName>
    <definedName name="_xlnm._FilterDatabase" localSheetId="1" hidden="1">VACANTES!$A$1:$I$100</definedName>
    <definedName name="lstAcciones">PARAMETROS!$E$2:$E$8</definedName>
    <definedName name="lstEstadoDoc">PARAMETROS!$C$2:$C$5</definedName>
    <definedName name="lstEstadosEntrevista">PARAMETROS!$G$2:$G$6</definedName>
    <definedName name="lstEstadosVacante">PARAMETROS!$I$2:$I$5</definedName>
    <definedName name="lstEtapas">PARAMETROS!$A$2:$A$10</definedName>
    <definedName name="lstIDsVacante">VACANTES!$A$2:$A$100</definedName>
    <definedName name="lstPortales">PARAMETROS!$D$2:$D$7</definedName>
    <definedName name="lstResultadosContacto">PARAMETROS!$B$2:$B$9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0" i="3" l="1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K19" i="3"/>
  <c r="L19" i="3" s="1"/>
  <c r="H19" i="3"/>
  <c r="L18" i="3"/>
  <c r="K18" i="3"/>
  <c r="L17" i="3"/>
  <c r="K17" i="3"/>
  <c r="K16" i="3"/>
  <c r="L16" i="3" s="1"/>
  <c r="K15" i="3"/>
  <c r="L15" i="3" s="1"/>
  <c r="H15" i="3"/>
  <c r="L14" i="3"/>
  <c r="K13" i="3"/>
  <c r="L13" i="3" s="1"/>
  <c r="K12" i="3"/>
  <c r="L12" i="3" s="1"/>
  <c r="L11" i="3"/>
  <c r="L10" i="3"/>
  <c r="K9" i="3"/>
  <c r="L9" i="3" s="1"/>
  <c r="L8" i="3"/>
  <c r="K7" i="3"/>
  <c r="L7" i="3" s="1"/>
  <c r="K6" i="3"/>
  <c r="L6" i="3" s="1"/>
  <c r="K5" i="3"/>
  <c r="L5" i="3" s="1"/>
  <c r="H5" i="3"/>
  <c r="F6" i="4" s="1"/>
  <c r="L4" i="3"/>
  <c r="K4" i="3"/>
  <c r="K3" i="3"/>
  <c r="L3" i="3" s="1"/>
  <c r="K2" i="3"/>
  <c r="L2" i="3" s="1"/>
  <c r="J6" i="4" s="1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B35" i="4"/>
  <c r="B29" i="4"/>
  <c r="C29" i="4" s="1"/>
  <c r="D29" i="4" s="1"/>
  <c r="B28" i="4"/>
  <c r="C28" i="4" s="1"/>
  <c r="D28" i="4" s="1"/>
  <c r="B27" i="4"/>
  <c r="C27" i="4" s="1"/>
  <c r="D27" i="4" s="1"/>
  <c r="B26" i="4"/>
  <c r="C26" i="4" s="1"/>
  <c r="D26" i="4" s="1"/>
  <c r="B25" i="4"/>
  <c r="C25" i="4" s="1"/>
  <c r="D25" i="4" s="1"/>
  <c r="B24" i="4"/>
  <c r="C24" i="4" s="1"/>
  <c r="B18" i="4"/>
  <c r="C18" i="4" s="1"/>
  <c r="D18" i="4" s="1"/>
  <c r="B17" i="4"/>
  <c r="C17" i="4" s="1"/>
  <c r="D17" i="4" s="1"/>
  <c r="B16" i="4"/>
  <c r="C16" i="4" s="1"/>
  <c r="D16" i="4" s="1"/>
  <c r="B15" i="4"/>
  <c r="C15" i="4" s="1"/>
  <c r="D15" i="4" s="1"/>
  <c r="B14" i="4"/>
  <c r="C14" i="4" s="1"/>
  <c r="D14" i="4" s="1"/>
  <c r="B13" i="4"/>
  <c r="C13" i="4" s="1"/>
  <c r="D13" i="4" s="1"/>
  <c r="B12" i="4"/>
  <c r="C12" i="4" s="1"/>
  <c r="D12" i="4" s="1"/>
  <c r="B11" i="4"/>
  <c r="C11" i="4" s="1"/>
  <c r="D11" i="4" s="1"/>
  <c r="B10" i="4"/>
  <c r="C10" i="4" s="1"/>
  <c r="N6" i="4"/>
  <c r="B6" i="4"/>
  <c r="B3" i="4"/>
  <c r="C30" i="4" l="1"/>
  <c r="D24" i="4"/>
  <c r="C19" i="4"/>
  <c r="D10" i="4"/>
  <c r="D19" i="4" s="1"/>
  <c r="D30" i="4" l="1"/>
  <c r="B3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SSR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 único por candidatura. El formato condicional resalta duplicados; corregirlos antes de usar indicadores.</t>
        </r>
      </text>
    </comment>
    <comment ref="H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Alerta: si la fecha de entrevista ya pasó y el estado no es Realizada ni Cancelada, la fila completa se resalta en rojo. Revisa el estado en la columna M.</t>
        </r>
      </text>
    </comment>
    <comment ref="M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Estado de la entrevista. Si la entrevista ya pasó y sigue Pendiente de confirmación (u otro estado no terminal), actualiza aquí a Realizada o Cancelada, según corresponda.</t>
        </r>
      </text>
    </comment>
    <comment ref="A2" authorId="1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CP-01: Recibido con acción futura (En Plazo)</t>
        </r>
      </text>
    </comment>
    <comment ref="A3" authorId="1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CP-02: Filtro Telefónico con acción en el PASADO (VENCIDO)</t>
        </r>
      </text>
    </comment>
    <comment ref="A4" authorId="1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CP-03: Descartado con acción pasada (Cerrado, sin alerta)</t>
        </r>
      </text>
    </comment>
    <comment ref="A5" authorId="1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CP-04: Entrevista Coordinada con fecha de entrevista FUTURA</t>
        </r>
      </text>
    </comment>
    <comment ref="A6" authorId="1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CP-05: Estado_Doc = Pendiente Crítica</t>
        </r>
      </text>
    </comment>
    <comment ref="A7" authorId="1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CP-06: Fecha_Proxima_Accion = HOY() (HOY)</t>
        </r>
      </text>
    </comment>
    <comment ref="A8" authorId="1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CP-07: Fecha_Proxima_Accion VACÍA (Sin Fecha Programada)</t>
        </r>
      </text>
    </comment>
    <comment ref="A17" authorId="1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CP-08: Resultado 'No Contesta (Intento 3 - Final)' con acción pasada (Cerrado, sin alerta)</t>
        </r>
      </text>
    </comment>
    <comment ref="A18" authorId="1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CP-09: Resultado 'Datos Erróneos' con acción pasada (Cerrado, sin alerta)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Cuenta candidaturas en etapa Entrevista Coordinada con fecha de hoy o futura y estado distinto de Realizada/Cancelada.</t>
        </r>
      </text>
    </comment>
    <comment ref="B3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El número de abajo cuenta entrevistas con fecha anterior a hoy que siguen sin estado Realizada o Cancelada. Para localizar los casos, abre CANDIDATOS: las filas afectadas se resaltan en rojo; revisa las columnas H (Fecha_Entrevista) y M (Estado_Entrevista).</t>
        </r>
      </text>
    </comment>
  </commentList>
</comments>
</file>

<file path=xl/sharedStrings.xml><?xml version="1.0" encoding="utf-8"?>
<sst xmlns="http://schemas.openxmlformats.org/spreadsheetml/2006/main" count="377" uniqueCount="218">
  <si>
    <t>Dashboard de Seguimiento de Reclutamiento</t>
  </si>
  <si>
    <t>Total Candidatos Activos</t>
  </si>
  <si>
    <t>Entrevistas agendadas (hoy o futuras)</t>
  </si>
  <si>
    <t>Acciones Vencidas (Atención Requerida)</t>
  </si>
  <si>
    <t>Documentación Pendiente</t>
  </si>
  <si>
    <t>Resumen de Estado por Etapa</t>
  </si>
  <si>
    <t>Etapa</t>
  </si>
  <si>
    <t>Candidatos</t>
  </si>
  <si>
    <t>% del total</t>
  </si>
  <si>
    <t>Total</t>
  </si>
  <si>
    <t>Rendimiento por Portal de Empleo</t>
  </si>
  <si>
    <t>Portal</t>
  </si>
  <si>
    <t>ALERTA: entrevistas pasadas sin actualizar</t>
  </si>
  <si>
    <t>Para ubicar el caso: abre CANDIDATOS y busca las filas resaltadas en rojo.</t>
  </si>
  <si>
    <t>→ Ir a CANDIDATOS y revisar columnas H y M</t>
  </si>
  <si>
    <t>lst_Etapa</t>
  </si>
  <si>
    <t>lst_ResultadoContacto</t>
  </si>
  <si>
    <t>lst_EstadoDoc</t>
  </si>
  <si>
    <t>lst_Portales</t>
  </si>
  <si>
    <t>lst_AccionRequerida</t>
  </si>
  <si>
    <t>lst_EstadoEntrevista</t>
  </si>
  <si>
    <t>lst_EstadoVacante</t>
  </si>
  <si>
    <t>Recibido</t>
  </si>
  <si>
    <t>Contactado - Interesado</t>
  </si>
  <si>
    <t>Completa</t>
  </si>
  <si>
    <t>Trabajando.cl</t>
  </si>
  <si>
    <t>Llamar de nuevo</t>
  </si>
  <si>
    <t>No aplica</t>
  </si>
  <si>
    <t>Abierta</t>
  </si>
  <si>
    <t>Contacto Pendiente</t>
  </si>
  <si>
    <t>Contactado - No Interesado</t>
  </si>
  <si>
    <t>Pendiente Crítica</t>
  </si>
  <si>
    <t>Laborum</t>
  </si>
  <si>
    <t>Revisar antecedentes</t>
  </si>
  <si>
    <t>Pendiente de confirmación</t>
  </si>
  <si>
    <t>En Proceso</t>
  </si>
  <si>
    <t>Filtro Telefónico</t>
  </si>
  <si>
    <t>No Contesta (Intento 1)</t>
  </si>
  <si>
    <t>Pendiente Parcial</t>
  </si>
  <si>
    <t>LinkedIn</t>
  </si>
  <si>
    <t>Coordinar entrevista</t>
  </si>
  <si>
    <t>Confirmada</t>
  </si>
  <si>
    <t>Cubierta</t>
  </si>
  <si>
    <t>Entrevista Coordinada</t>
  </si>
  <si>
    <t>No Contesta (Intento 2)</t>
  </si>
  <si>
    <t>N/A</t>
  </si>
  <si>
    <t>Computrabajo</t>
  </si>
  <si>
    <t>Enviar prueba técnica</t>
  </si>
  <si>
    <t>Realizada</t>
  </si>
  <si>
    <t>Cancelada</t>
  </si>
  <si>
    <t>En Evaluación</t>
  </si>
  <si>
    <t>No Contesta (Intento 3 - Final)</t>
  </si>
  <si>
    <t>Redes Sociales</t>
  </si>
  <si>
    <t>Esperar respuesta</t>
  </si>
  <si>
    <t>Seleccionado</t>
  </si>
  <si>
    <t>Buzón de Voz</t>
  </si>
  <si>
    <t>Referido</t>
  </si>
  <si>
    <t>Solicitar documentos</t>
  </si>
  <si>
    <t>• Datos 100% sintéticos, de demostración.</t>
  </si>
  <si>
    <t>Contratado</t>
  </si>
  <si>
    <t>Datos Erróneos</t>
  </si>
  <si>
    <t>Control de entrevistas: complete Estado_Entrevista cuando corresponda. Las entrevistas pasadas sin resultado se muestran en el control del dashboard.</t>
  </si>
  <si>
    <t>Descartado</t>
  </si>
  <si>
    <t>Los IDs deben ser únicos. Use datos sintéticos en este prototipo; no ingrese datos personales reales.</t>
  </si>
  <si>
    <t>Retirado</t>
  </si>
  <si>
    <t>Versión auditada: tablas estructuradas en VACANTES y CANDIDATOS; fechas DD/MM/AAAA; validaciones y alertas de duplicados.</t>
  </si>
  <si>
    <t>Limitación: el libro registra la próxima acción por candidatura; no mantiene historial completo de llamadas/tareas.</t>
  </si>
  <si>
    <t>La columna Estado_Entrevista diferencia entrevistas pendientes de confirmación, confirmadas, realizadas y canceladas.</t>
  </si>
  <si>
    <t>GLOSARIO TÉCNICO</t>
  </si>
  <si>
    <t>El control de entrevistas pasadas se actualiza según HOY(); revisar el resultado y cambiar el estado a Realizada o Cancelada cuando corresponda.</t>
  </si>
  <si>
    <t>Etapa_Actual (hoja CANDIDATOS)</t>
  </si>
  <si>
    <t>Significado</t>
  </si>
  <si>
    <t>Postulación ingresada al sistema; todavía no se ha contactado a la persona.</t>
  </si>
  <si>
    <t>Hay que contactar a la persona o se están haciendo intentos de contacto sin una respuesta definitiva.</t>
  </si>
  <si>
    <t>Contacto logrado; se realiza una entrevista telefónica breve para validar interés, expectativas y requisitos básicos.</t>
  </si>
  <si>
    <t>Se acordó fecha y hora de entrevista con el reclutador o la jefatura; queda registrada en Fecha_Entrevista.</t>
  </si>
  <si>
    <t>Entrevista realizada; se evalúa a la persona (pruebas, referencias, comparación con otros postulantes).</t>
  </si>
  <si>
    <t>Persona elegida para el cargo; quedan pendientes la oferta, los documentos y la aceptación.</t>
  </si>
  <si>
    <t>Aceptó la oferta y se incorporó. Cierra el proceso para esa persona.</t>
  </si>
  <si>
    <t>No continúa en el proceso por decisión de la empresa (no cumple el perfil o se eligió a otra persona).</t>
  </si>
  <si>
    <t>No continúa por decisión propia de la persona (desiste, acepta otra oferta u otro motivo).</t>
  </si>
  <si>
    <t>Estado_Accion (semáforo de control, hoja CANDIDATOS)</t>
  </si>
  <si>
    <t>Estado</t>
  </si>
  <si>
    <t>VENCIDO</t>
  </si>
  <si>
    <t>La Fecha_Proxima_Accion ya pasó y el caso sigue abierto. Requiere atención inmediata (fila en rojo).</t>
  </si>
  <si>
    <t>HOY</t>
  </si>
  <si>
    <t>La próxima acción está programada para hoy (fila en amarillo).</t>
  </si>
  <si>
    <t>En Plazo</t>
  </si>
  <si>
    <t>La próxima acción tiene fecha futura. Sin alerta.</t>
  </si>
  <si>
    <t>Sin Fecha Programada</t>
  </si>
  <si>
    <t>Caso abierto sin fecha de próxima acción. Se debe asignar una fecha.</t>
  </si>
  <si>
    <t>Cerrado</t>
  </si>
  <si>
    <t>Sin acciones pendientes: la etapa es Contratado, Descartado o Retirado, o el resultado de contacto es 'No Contesta (Intento 3 - Final)' o 'Datos Erróneos'. No genera alertas (fila en gris).</t>
  </si>
  <si>
    <t>ID_Vacante</t>
  </si>
  <si>
    <t>Nombre_Cargo</t>
  </si>
  <si>
    <t>Area_Cliente</t>
  </si>
  <si>
    <t>Fecha_Apertura</t>
  </si>
  <si>
    <t>Portal_Principal</t>
  </si>
  <si>
    <t>Estado_Vacante</t>
  </si>
  <si>
    <t>Candidatos_Asociados</t>
  </si>
  <si>
    <t>Dias_Abierta</t>
  </si>
  <si>
    <t>Fecha_Cierre</t>
  </si>
  <si>
    <t>VAC-001</t>
  </si>
  <si>
    <t>Operador Logístico</t>
  </si>
  <si>
    <t>Centro de Distribución Lo Aguirre</t>
  </si>
  <si>
    <t>VAC-002</t>
  </si>
  <si>
    <t>Administrativo de Cuentas</t>
  </si>
  <si>
    <t>Finanzas – Cuentas por Pagar</t>
  </si>
  <si>
    <t>VAC-003</t>
  </si>
  <si>
    <t>Ejecutivo Back Office</t>
  </si>
  <si>
    <t>Operaciones Comerciales</t>
  </si>
  <si>
    <t>VAC-004</t>
  </si>
  <si>
    <t>Ejecutivo de Atención al Cliente</t>
  </si>
  <si>
    <t>Servicio al Cliente</t>
  </si>
  <si>
    <t>VAC-005</t>
  </si>
  <si>
    <t>Analista de Remuneraciones</t>
  </si>
  <si>
    <t>Recursos Humanos</t>
  </si>
  <si>
    <t>ID_Candidato</t>
  </si>
  <si>
    <t>Fuente</t>
  </si>
  <si>
    <t>Fecha_Ingreso</t>
  </si>
  <si>
    <t>Etapa_Actual</t>
  </si>
  <si>
    <t>Fecha_Ultimo_Contacto</t>
  </si>
  <si>
    <t>Resultado_Contacto</t>
  </si>
  <si>
    <t>Fecha_Entrevista</t>
  </si>
  <si>
    <t>Estado_Doc</t>
  </si>
  <si>
    <t>Accion_Requerida</t>
  </si>
  <si>
    <t>Fecha_Proxima_Accion</t>
  </si>
  <si>
    <t>Estado_Accion</t>
  </si>
  <si>
    <t>Estado_Entrevista</t>
  </si>
  <si>
    <t>CND-001</t>
  </si>
  <si>
    <t>CND-002</t>
  </si>
  <si>
    <t>CND-003</t>
  </si>
  <si>
    <t>CND-004</t>
  </si>
  <si>
    <t>CND-005</t>
  </si>
  <si>
    <t>CND-006</t>
  </si>
  <si>
    <t>CND-007</t>
  </si>
  <si>
    <t>CND-008</t>
  </si>
  <si>
    <t>CND-009</t>
  </si>
  <si>
    <t>CND-010</t>
  </si>
  <si>
    <t>CND-011</t>
  </si>
  <si>
    <t>CND-012</t>
  </si>
  <si>
    <t>CND-013</t>
  </si>
  <si>
    <t>CND-014</t>
  </si>
  <si>
    <t>CND-015</t>
  </si>
  <si>
    <t>CND-016</t>
  </si>
  <si>
    <t>CND-017</t>
  </si>
  <si>
    <t>CND-018</t>
  </si>
  <si>
    <t>Confirmar resultado entrevista</t>
  </si>
  <si>
    <t>ID</t>
  </si>
  <si>
    <t>Prueba</t>
  </si>
  <si>
    <t>Configuración / acción</t>
  </si>
  <si>
    <t>Resultado esperado</t>
  </si>
  <si>
    <t>Cómo verificar</t>
  </si>
  <si>
    <t>Estado de prueba</t>
  </si>
  <si>
    <t>CP-01</t>
  </si>
  <si>
    <t>Acción futura</t>
  </si>
  <si>
    <t>Candidatura activa; próxima acción = HOY()+1</t>
  </si>
  <si>
    <t>Estado_Accion = En Plazo</t>
  </si>
  <si>
    <t>Ver columna L en la fila de prueba</t>
  </si>
  <si>
    <t>Preparada; ejecutar en Excel</t>
  </si>
  <si>
    <t>CP-02</t>
  </si>
  <si>
    <t>Acción vencida</t>
  </si>
  <si>
    <t>Candidatura activa; próxima acción = HOY()-2</t>
  </si>
  <si>
    <t>Estado_Accion = VENCIDO y resaltado rojo</t>
  </si>
  <si>
    <t>Ver columna L y formato condicional</t>
  </si>
  <si>
    <t>CP-03</t>
  </si>
  <si>
    <t>Etapa cerrada</t>
  </si>
  <si>
    <t>Etapa = Descartado y acción vencida</t>
  </si>
  <si>
    <t>Estado_Accion = Cerrado</t>
  </si>
  <si>
    <t>Ver columna L</t>
  </si>
  <si>
    <t>CP-04</t>
  </si>
  <si>
    <t>Entrevista futura</t>
  </si>
  <si>
    <t>Etapa = Entrevista Coordinada; fecha = HOY()+3; estado Confirmada</t>
  </si>
  <si>
    <t>Cuenta en entrevistas agendadas</t>
  </si>
  <si>
    <t>Comparar KPI antes/después</t>
  </si>
  <si>
    <t>CP-05</t>
  </si>
  <si>
    <t>Entrevista pasada sin actualizar</t>
  </si>
  <si>
    <t>Etapa = Entrevista Coordinada; fecha = HOY()-1; estado pendiente</t>
  </si>
  <si>
    <t>Cuenta en control de entrevistas pasadas y fecha resaltada</t>
  </si>
  <si>
    <t>Ver dashboard B35 y formato de H</t>
  </si>
  <si>
    <t>CP-06</t>
  </si>
  <si>
    <t>Documentación pendiente</t>
  </si>
  <si>
    <t>Estado_Doc = Pendiente Crítica; candidatura activa</t>
  </si>
  <si>
    <t>Cuenta en KPI de documentación pendiente</t>
  </si>
  <si>
    <t>CP-07</t>
  </si>
  <si>
    <t>Fecha de acción vacía</t>
  </si>
  <si>
    <t>Candidatura activa; K vacía</t>
  </si>
  <si>
    <t>Estado_Accion = Sin Fecha Programada</t>
  </si>
  <si>
    <t>CP-08</t>
  </si>
  <si>
    <t>ID duplicado</t>
  </si>
  <si>
    <t>Copiar un ID existente en otra fila</t>
  </si>
  <si>
    <t>Ambas celdas de ID quedan resaltadas</t>
  </si>
  <si>
    <t>Ver columna A</t>
  </si>
  <si>
    <t>CP-09</t>
  </si>
  <si>
    <t>Vacante cubierta sin fecha de cierre</t>
  </si>
  <si>
    <t>Estado_Vacante = Cubierta; Fecha_Cierre vacía</t>
  </si>
  <si>
    <t>Dias_Abierta = Revisar fecha cierre</t>
  </si>
  <si>
    <t>Ver columna H en VACANTES</t>
  </si>
  <si>
    <t>CP-10</t>
  </si>
  <si>
    <t>Vacante cancelada</t>
  </si>
  <si>
    <t>Estado_Vacante = Cancelada</t>
  </si>
  <si>
    <t>Dias_Abierta = Cancelada</t>
  </si>
  <si>
    <t>CP-11</t>
  </si>
  <si>
    <t>Entrevista realizada</t>
  </si>
  <si>
    <t>Estado_Entrevista = Realizada</t>
  </si>
  <si>
    <t>No cuenta como agendada ni pendiente de actualizar</t>
  </si>
  <si>
    <t>Ver KPI y control de entrevistas</t>
  </si>
  <si>
    <t>CP-12</t>
  </si>
  <si>
    <t>Expansión de tabla</t>
  </si>
  <si>
    <t>Agregar nueva candidatura debajo de la tabla</t>
  </si>
  <si>
    <t>La tabla se expande; revisar validaciones y fórmulas</t>
  </si>
  <si>
    <t>Ver borde de tabla y columnas L/M</t>
  </si>
  <si>
    <t>CP-13</t>
  </si>
  <si>
    <t>Entrevista pasada sin resultado</t>
  </si>
  <si>
    <t>Etapa = Entrevista Coordinada; Fecha_Entrevista = HOY()-1; Estado_Entrevista = Pendiente de confirmación</t>
  </si>
  <si>
    <t>Control de entrevistas pasadas suma +1</t>
  </si>
  <si>
    <t>Ver dashboard B35 y fila CND-018</t>
  </si>
  <si>
    <t>Caso incluido en datos sintéticos; confirmar al abrir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</si>
</sst>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2"/>
      <color rgb="FF1F3864"/>
      <name val="Arial"/>
      <family val="2"/>
    </font>
    <font>
      <b/>
      <sz val="14"/>
      <color rgb="FF1F3864"/>
      <name val="Arial"/>
      <family val="2"/>
    </font>
    <font>
      <b/>
      <sz val="20"/>
      <color rgb="FF1F3864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b/>
      <sz val="28"/>
      <color rgb="FF2F75B5"/>
      <name val="Arial"/>
      <family val="2"/>
    </font>
    <font>
      <b/>
      <sz val="28"/>
      <color rgb="FF548235"/>
      <name val="Arial"/>
      <family val="2"/>
    </font>
    <font>
      <b/>
      <sz val="28"/>
      <color rgb="FFC00000"/>
      <name val="Arial"/>
      <family val="2"/>
    </font>
    <font>
      <b/>
      <sz val="28"/>
      <color rgb="FFBF8F00"/>
      <name val="Arial"/>
      <family val="2"/>
    </font>
    <font>
      <b/>
      <sz val="11"/>
      <name val="Arial"/>
      <family val="2"/>
    </font>
    <font>
      <b/>
      <sz val="10"/>
      <color rgb="FF375623"/>
      <name val="Arial"/>
      <family val="2"/>
    </font>
    <font>
      <b/>
      <sz val="11"/>
      <color rgb="FFFFFFFF"/>
      <name val="Calibri"/>
    </font>
    <font>
      <b/>
      <sz val="16"/>
      <color rgb="FF1F4E78"/>
      <name val="Calibri"/>
    </font>
    <font>
      <i/>
      <sz val="9"/>
      <color rgb="FF666666"/>
      <name val="Calibri"/>
    </font>
    <font>
      <sz val="12"/>
      <color theme="10"/>
      <name val="Calibri"/>
      <family val="2"/>
      <scheme val="minor"/>
    </font>
    <font>
      <b/>
      <u/>
      <sz val="10"/>
      <color rgb="FF0563C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1F3864"/>
        <bgColor rgb="FF1F3864"/>
      </patternFill>
    </fill>
    <fill>
      <patternFill patternType="solid">
        <fgColor rgb="FF2F75B5"/>
        <bgColor rgb="FF2F75B5"/>
      </patternFill>
    </fill>
    <fill>
      <patternFill patternType="solid">
        <fgColor rgb="FFF7F9FC"/>
        <bgColor rgb="FFF7F9FC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BF8F00"/>
        <bgColor rgb="FFBF8F00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F75B5"/>
      </bottom>
      <diagonal/>
    </border>
    <border>
      <left/>
      <right/>
      <top/>
      <bottom style="medium">
        <color rgb="FF548235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BF8F00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7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15" fillId="0" borderId="9" xfId="0" applyFont="1" applyBorder="1"/>
    <xf numFmtId="0" fontId="15" fillId="0" borderId="9" xfId="0" applyFont="1" applyBorder="1" applyAlignment="1">
      <alignment horizontal="center"/>
    </xf>
    <xf numFmtId="164" fontId="15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4" fontId="0" fillId="0" borderId="0" xfId="0" applyNumberFormat="1"/>
    <xf numFmtId="0" fontId="17" fillId="10" borderId="0" xfId="0" applyFont="1" applyFill="1" applyAlignment="1">
      <alignment vertical="center" wrapText="1"/>
    </xf>
    <xf numFmtId="0" fontId="17" fillId="10" borderId="0" xfId="0" applyFont="1" applyFill="1"/>
    <xf numFmtId="0" fontId="18" fillId="0" borderId="0" xfId="0" applyFont="1"/>
    <xf numFmtId="0" fontId="19" fillId="0" borderId="0" xfId="0" applyFont="1"/>
    <xf numFmtId="0" fontId="0" fillId="0" borderId="0" xfId="0" applyAlignment="1">
      <alignment vertical="top" wrapText="1"/>
    </xf>
    <xf numFmtId="14" fontId="2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1" fillId="0" borderId="0" xfId="1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center" wrapText="1"/>
    </xf>
    <xf numFmtId="0" fontId="16" fillId="9" borderId="0" xfId="0" applyFont="1" applyFill="1" applyAlignment="1">
      <alignment horizontal="center" vertical="center" wrapText="1"/>
    </xf>
    <xf numFmtId="0" fontId="0" fillId="0" borderId="0" xfId="0"/>
    <xf numFmtId="0" fontId="10" fillId="8" borderId="0" xfId="0" applyFont="1" applyFill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0" fillId="0" borderId="4" xfId="0" applyBorder="1"/>
    <xf numFmtId="0" fontId="14" fillId="5" borderId="7" xfId="0" applyFont="1" applyFill="1" applyBorder="1" applyAlignment="1">
      <alignment horizontal="center" vertical="center"/>
    </xf>
    <xf numFmtId="0" fontId="0" fillId="0" borderId="7" xfId="0" applyBorder="1"/>
    <xf numFmtId="0" fontId="10" fillId="7" borderId="0" xfId="0" applyFont="1" applyFill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/>
    </xf>
    <xf numFmtId="0" fontId="0" fillId="0" borderId="6" xfId="0" applyBorder="1"/>
    <xf numFmtId="0" fontId="10" fillId="4" borderId="0" xfId="0" applyFont="1" applyFill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/>
    </xf>
    <xf numFmtId="0" fontId="0" fillId="0" borderId="5" xfId="0" applyBorder="1"/>
    <xf numFmtId="0" fontId="8" fillId="0" borderId="0" xfId="0" applyFont="1"/>
    <xf numFmtId="0" fontId="10" fillId="6" borderId="0" xfId="0" applyFont="1" applyFill="1" applyAlignment="1">
      <alignment horizontal="center" vertical="center" wrapText="1"/>
    </xf>
    <xf numFmtId="0" fontId="9" fillId="0" borderId="0" xfId="0" applyFont="1"/>
  </cellXfs>
  <cellStyles count="2">
    <cellStyle name="Hipervínculo" xfId="1" builtinId="8"/>
    <cellStyle name="Normal" xfId="0" builtinId="0"/>
  </cellStyles>
  <dxfs count="8">
    <dxf>
      <font>
        <b/>
        <color rgb="FF375623"/>
        <name val="Arial"/>
      </font>
      <fill>
        <patternFill patternType="solid">
          <fgColor rgb="FFC6E0B4"/>
          <bgColor rgb="FFC6E0B4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CE4D6"/>
        </patternFill>
      </fill>
    </dxf>
    <dxf>
      <font>
        <color rgb="FF9C0006"/>
      </font>
      <fill>
        <patternFill patternType="solid">
          <fgColor rgb="FFFCE4D6"/>
        </patternFill>
      </fill>
    </dxf>
    <dxf>
      <font>
        <color rgb="FF808080"/>
        <name val="Arial"/>
      </font>
      <fill>
        <patternFill patternType="solid">
          <fgColor rgb="FFF2F2F2"/>
          <bgColor rgb="FFF2F2F2"/>
        </patternFill>
      </fill>
    </dxf>
    <dxf>
      <font>
        <color rgb="FF7F4F00"/>
        <name val="Arial"/>
      </font>
      <fill>
        <patternFill patternType="solid">
          <fgColor rgb="FFFFF2CC"/>
          <bgColor rgb="FFFFF2CC"/>
        </patternFill>
      </fill>
    </dxf>
    <dxf>
      <font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90000"/>
      </font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Candidatos por Etapa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DASHBOARD!$C$9</c:f>
              <c:strCache>
                <c:ptCount val="1"/>
                <c:pt idx="0">
                  <c:v>Candidatos</c:v>
                </c:pt>
              </c:strCache>
            </c:strRef>
          </c:tx>
          <c:spPr>
            <a:solidFill>
              <a:srgbClr val="2F75B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DASHBOARD!$B$10:$B$18</c:f>
              <c:strCache>
                <c:ptCount val="9"/>
                <c:pt idx="0">
                  <c:v>Recibido</c:v>
                </c:pt>
                <c:pt idx="1">
                  <c:v>Contacto Pendiente</c:v>
                </c:pt>
                <c:pt idx="2">
                  <c:v>Filtro Telefónico</c:v>
                </c:pt>
                <c:pt idx="3">
                  <c:v>Entrevista Coordinada</c:v>
                </c:pt>
                <c:pt idx="4">
                  <c:v>En Evaluación</c:v>
                </c:pt>
                <c:pt idx="5">
                  <c:v>Seleccionado</c:v>
                </c:pt>
                <c:pt idx="6">
                  <c:v>Contratado</c:v>
                </c:pt>
                <c:pt idx="7">
                  <c:v>Descartado</c:v>
                </c:pt>
                <c:pt idx="8">
                  <c:v>Retirado</c:v>
                </c:pt>
              </c:strCache>
            </c:strRef>
          </c:cat>
          <c:val>
            <c:numRef>
              <c:f>DASHBOARD!$C$10:$C$18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6E-408E-91C1-3781598BA7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Distribución % por Etapa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6807212403170652E-2"/>
          <c:y val="0.10023572525132472"/>
          <c:w val="0.43049605923723056"/>
          <c:h val="0.89976427474867526"/>
        </c:manualLayout>
      </c:layout>
      <c:doughnutChart>
        <c:varyColors val="1"/>
        <c:ser>
          <c:idx val="0"/>
          <c:order val="0"/>
          <c:tx>
            <c:strRef>
              <c:f>DASHBOARD!$C$9</c:f>
              <c:strCache>
                <c:ptCount val="1"/>
                <c:pt idx="0">
                  <c:v>Candidatos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DASHBOARD!$B$10:$B$18</c:f>
              <c:strCache>
                <c:ptCount val="9"/>
                <c:pt idx="0">
                  <c:v>Recibido</c:v>
                </c:pt>
                <c:pt idx="1">
                  <c:v>Contacto Pendiente</c:v>
                </c:pt>
                <c:pt idx="2">
                  <c:v>Filtro Telefónico</c:v>
                </c:pt>
                <c:pt idx="3">
                  <c:v>Entrevista Coordinada</c:v>
                </c:pt>
                <c:pt idx="4">
                  <c:v>En Evaluación</c:v>
                </c:pt>
                <c:pt idx="5">
                  <c:v>Seleccionado</c:v>
                </c:pt>
                <c:pt idx="6">
                  <c:v>Contratado</c:v>
                </c:pt>
                <c:pt idx="7">
                  <c:v>Descartado</c:v>
                </c:pt>
                <c:pt idx="8">
                  <c:v>Retirado</c:v>
                </c:pt>
              </c:strCache>
            </c:strRef>
          </c:cat>
          <c:val>
            <c:numRef>
              <c:f>DASHBOARD!$C$10:$C$18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9-4212-BF8F-117BA2F1D091}"/>
            </c:ext>
          </c:extLst>
        </c:ser>
        <c:dLbls>
          <c:showLegendKey val="1"/>
          <c:showVal val="0"/>
          <c:showCatName val="0"/>
          <c:showSerName val="1"/>
          <c:showPercent val="0"/>
          <c:showBubbleSize val="1"/>
          <c:showLeaderLines val="0"/>
        </c:dLbls>
        <c:firstSliceAng val="0"/>
        <c:holeSize val="55"/>
      </c:doughnutChart>
    </c:plotArea>
    <c:legend>
      <c:legendPos val="b"/>
      <c:layout>
        <c:manualLayout>
          <c:xMode val="edge"/>
          <c:yMode val="edge"/>
          <c:x val="0.49696702075330712"/>
          <c:y val="0.10797173938163392"/>
          <c:w val="0.47530758226037195"/>
          <c:h val="0.8039779461529572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Aporte % por Portal de Empleo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DASHBOARD!$D$23</c:f>
              <c:strCache>
                <c:ptCount val="1"/>
                <c:pt idx="0">
                  <c:v>% del total</c:v>
                </c:pt>
              </c:strCache>
            </c:strRef>
          </c:tx>
          <c:spPr>
            <a:solidFill>
              <a:srgbClr val="54823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DASHBOARD!$B$24:$B$29</c:f>
              <c:strCache>
                <c:ptCount val="6"/>
                <c:pt idx="0">
                  <c:v>Trabajando.cl</c:v>
                </c:pt>
                <c:pt idx="1">
                  <c:v>Laborum</c:v>
                </c:pt>
                <c:pt idx="2">
                  <c:v>LinkedIn</c:v>
                </c:pt>
                <c:pt idx="3">
                  <c:v>Computrabajo</c:v>
                </c:pt>
                <c:pt idx="4">
                  <c:v>Redes Sociales</c:v>
                </c:pt>
                <c:pt idx="5">
                  <c:v>Referido</c:v>
                </c:pt>
              </c:strCache>
            </c:strRef>
          </c:cat>
          <c:val>
            <c:numRef>
              <c:f>DASHBOARD!$D$24:$D$29</c:f>
              <c:numCache>
                <c:formatCode>0.0%</c:formatCode>
                <c:ptCount val="6"/>
                <c:pt idx="0">
                  <c:v>0.22222222222222221</c:v>
                </c:pt>
                <c:pt idx="1">
                  <c:v>0.22222222222222221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0.1111111111111111</c:v>
                </c:pt>
                <c:pt idx="5">
                  <c:v>0.1111111111111111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30-42F1-92A9-BAB8D9EBBA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1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866774</xdr:colOff>
      <xdr:row>7</xdr:row>
      <xdr:rowOff>0</xdr:rowOff>
    </xdr:from>
    <xdr:ext cx="6858001" cy="31623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25</xdr:row>
      <xdr:rowOff>0</xdr:rowOff>
    </xdr:from>
    <xdr:ext cx="84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D9D9"/>
  </sheetPr>
  <dimension ref="A1:I33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34" customWidth="1"/>
    <col min="3" max="4" width="22" customWidth="1"/>
    <col min="5" max="5" width="26" customWidth="1"/>
    <col min="7" max="7" width="120" customWidth="1"/>
  </cols>
  <sheetData>
    <row r="1" spans="1:9" ht="32.1" customHeigh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G1" s="2" t="s">
        <v>20</v>
      </c>
      <c r="I1" t="s">
        <v>21</v>
      </c>
    </row>
    <row r="2" spans="1:9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G2" s="4" t="s">
        <v>27</v>
      </c>
      <c r="I2" t="s">
        <v>28</v>
      </c>
    </row>
    <row r="3" spans="1:9" x14ac:dyDescent="0.2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G3" s="4" t="s">
        <v>34</v>
      </c>
      <c r="I3" t="s">
        <v>35</v>
      </c>
    </row>
    <row r="4" spans="1:9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G4" s="4" t="s">
        <v>41</v>
      </c>
      <c r="I4" t="s">
        <v>42</v>
      </c>
    </row>
    <row r="5" spans="1:9" x14ac:dyDescent="0.25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G5" s="4" t="s">
        <v>48</v>
      </c>
      <c r="I5" t="s">
        <v>49</v>
      </c>
    </row>
    <row r="6" spans="1:9" x14ac:dyDescent="0.25">
      <c r="A6" s="3" t="s">
        <v>50</v>
      </c>
      <c r="B6" s="3" t="s">
        <v>51</v>
      </c>
      <c r="D6" s="3" t="s">
        <v>52</v>
      </c>
      <c r="E6" s="3" t="s">
        <v>53</v>
      </c>
      <c r="G6" s="4" t="s">
        <v>49</v>
      </c>
    </row>
    <row r="7" spans="1:9" x14ac:dyDescent="0.25">
      <c r="A7" s="3" t="s">
        <v>54</v>
      </c>
      <c r="B7" s="3" t="s">
        <v>55</v>
      </c>
      <c r="D7" s="3" t="s">
        <v>56</v>
      </c>
      <c r="E7" s="3" t="s">
        <v>57</v>
      </c>
      <c r="G7" s="4" t="s">
        <v>58</v>
      </c>
    </row>
    <row r="8" spans="1:9" x14ac:dyDescent="0.25">
      <c r="A8" s="3" t="s">
        <v>59</v>
      </c>
      <c r="B8" s="3" t="s">
        <v>60</v>
      </c>
      <c r="G8" t="s">
        <v>61</v>
      </c>
    </row>
    <row r="9" spans="1:9" x14ac:dyDescent="0.25">
      <c r="A9" s="3" t="s">
        <v>62</v>
      </c>
      <c r="G9" t="s">
        <v>63</v>
      </c>
    </row>
    <row r="10" spans="1:9" x14ac:dyDescent="0.25">
      <c r="A10" s="3" t="s">
        <v>64</v>
      </c>
      <c r="G10" t="s">
        <v>65</v>
      </c>
    </row>
    <row r="11" spans="1:9" x14ac:dyDescent="0.25">
      <c r="G11" t="s">
        <v>66</v>
      </c>
    </row>
    <row r="12" spans="1:9" x14ac:dyDescent="0.25">
      <c r="G12" t="s">
        <v>67</v>
      </c>
    </row>
    <row r="13" spans="1:9" ht="18" customHeight="1" x14ac:dyDescent="0.25">
      <c r="A13" s="5" t="s">
        <v>68</v>
      </c>
      <c r="G13" t="s">
        <v>69</v>
      </c>
    </row>
    <row r="15" spans="1:9" ht="15.75" customHeight="1" x14ac:dyDescent="0.25">
      <c r="A15" s="6" t="s">
        <v>70</v>
      </c>
    </row>
    <row r="16" spans="1:9" x14ac:dyDescent="0.25">
      <c r="A16" s="7" t="s">
        <v>6</v>
      </c>
      <c r="B16" s="31" t="s">
        <v>71</v>
      </c>
      <c r="C16" s="32"/>
      <c r="D16" s="32"/>
      <c r="E16" s="33"/>
    </row>
    <row r="17" spans="1:5" ht="30" customHeight="1" x14ac:dyDescent="0.25">
      <c r="A17" s="8" t="s">
        <v>22</v>
      </c>
      <c r="B17" s="34" t="s">
        <v>72</v>
      </c>
      <c r="C17" s="32"/>
      <c r="D17" s="32"/>
      <c r="E17" s="33"/>
    </row>
    <row r="18" spans="1:5" ht="30" customHeight="1" x14ac:dyDescent="0.25">
      <c r="A18" s="8" t="s">
        <v>29</v>
      </c>
      <c r="B18" s="34" t="s">
        <v>73</v>
      </c>
      <c r="C18" s="32"/>
      <c r="D18" s="32"/>
      <c r="E18" s="33"/>
    </row>
    <row r="19" spans="1:5" ht="30" customHeight="1" x14ac:dyDescent="0.25">
      <c r="A19" s="8" t="s">
        <v>36</v>
      </c>
      <c r="B19" s="34" t="s">
        <v>74</v>
      </c>
      <c r="C19" s="32"/>
      <c r="D19" s="32"/>
      <c r="E19" s="33"/>
    </row>
    <row r="20" spans="1:5" ht="30" customHeight="1" x14ac:dyDescent="0.25">
      <c r="A20" s="8" t="s">
        <v>43</v>
      </c>
      <c r="B20" s="34" t="s">
        <v>75</v>
      </c>
      <c r="C20" s="32"/>
      <c r="D20" s="32"/>
      <c r="E20" s="33"/>
    </row>
    <row r="21" spans="1:5" ht="30" customHeight="1" x14ac:dyDescent="0.25">
      <c r="A21" s="8" t="s">
        <v>50</v>
      </c>
      <c r="B21" s="34" t="s">
        <v>76</v>
      </c>
      <c r="C21" s="32"/>
      <c r="D21" s="32"/>
      <c r="E21" s="33"/>
    </row>
    <row r="22" spans="1:5" ht="30" customHeight="1" x14ac:dyDescent="0.25">
      <c r="A22" s="8" t="s">
        <v>54</v>
      </c>
      <c r="B22" s="34" t="s">
        <v>77</v>
      </c>
      <c r="C22" s="32"/>
      <c r="D22" s="32"/>
      <c r="E22" s="33"/>
    </row>
    <row r="23" spans="1:5" ht="30" customHeight="1" x14ac:dyDescent="0.25">
      <c r="A23" s="8" t="s">
        <v>59</v>
      </c>
      <c r="B23" s="34" t="s">
        <v>78</v>
      </c>
      <c r="C23" s="32"/>
      <c r="D23" s="32"/>
      <c r="E23" s="33"/>
    </row>
    <row r="24" spans="1:5" ht="30" customHeight="1" x14ac:dyDescent="0.25">
      <c r="A24" s="8" t="s">
        <v>62</v>
      </c>
      <c r="B24" s="34" t="s">
        <v>79</v>
      </c>
      <c r="C24" s="32"/>
      <c r="D24" s="32"/>
      <c r="E24" s="33"/>
    </row>
    <row r="25" spans="1:5" ht="30" customHeight="1" x14ac:dyDescent="0.25">
      <c r="A25" s="8" t="s">
        <v>64</v>
      </c>
      <c r="B25" s="34" t="s">
        <v>80</v>
      </c>
      <c r="C25" s="32"/>
      <c r="D25" s="32"/>
      <c r="E25" s="33"/>
    </row>
    <row r="27" spans="1:5" ht="15.75" customHeight="1" x14ac:dyDescent="0.25">
      <c r="A27" s="6" t="s">
        <v>81</v>
      </c>
    </row>
    <row r="28" spans="1:5" x14ac:dyDescent="0.25">
      <c r="A28" s="7" t="s">
        <v>82</v>
      </c>
      <c r="B28" s="31" t="s">
        <v>71</v>
      </c>
      <c r="C28" s="32"/>
      <c r="D28" s="32"/>
      <c r="E28" s="33"/>
    </row>
    <row r="29" spans="1:5" ht="30" customHeight="1" x14ac:dyDescent="0.25">
      <c r="A29" s="8" t="s">
        <v>83</v>
      </c>
      <c r="B29" s="34" t="s">
        <v>84</v>
      </c>
      <c r="C29" s="32"/>
      <c r="D29" s="32"/>
      <c r="E29" s="33"/>
    </row>
    <row r="30" spans="1:5" ht="30" customHeight="1" x14ac:dyDescent="0.25">
      <c r="A30" s="8" t="s">
        <v>85</v>
      </c>
      <c r="B30" s="34" t="s">
        <v>86</v>
      </c>
      <c r="C30" s="32"/>
      <c r="D30" s="32"/>
      <c r="E30" s="33"/>
    </row>
    <row r="31" spans="1:5" ht="30" customHeight="1" x14ac:dyDescent="0.25">
      <c r="A31" s="8" t="s">
        <v>87</v>
      </c>
      <c r="B31" s="34" t="s">
        <v>88</v>
      </c>
      <c r="C31" s="32"/>
      <c r="D31" s="32"/>
      <c r="E31" s="33"/>
    </row>
    <row r="32" spans="1:5" ht="30" customHeight="1" x14ac:dyDescent="0.25">
      <c r="A32" s="8" t="s">
        <v>89</v>
      </c>
      <c r="B32" s="34" t="s">
        <v>90</v>
      </c>
      <c r="C32" s="32"/>
      <c r="D32" s="32"/>
      <c r="E32" s="33"/>
    </row>
    <row r="33" spans="1:5" ht="42" customHeight="1" x14ac:dyDescent="0.25">
      <c r="A33" s="8" t="s">
        <v>91</v>
      </c>
      <c r="B33" s="34" t="s">
        <v>92</v>
      </c>
      <c r="C33" s="32"/>
      <c r="D33" s="32"/>
      <c r="E33" s="33"/>
    </row>
  </sheetData>
  <mergeCells count="16">
    <mergeCell ref="B16:E16"/>
    <mergeCell ref="B21:E21"/>
    <mergeCell ref="B29:E29"/>
    <mergeCell ref="B33:E33"/>
    <mergeCell ref="B25:E25"/>
    <mergeCell ref="B24:E24"/>
    <mergeCell ref="B19:E19"/>
    <mergeCell ref="B20:E20"/>
    <mergeCell ref="B28:E28"/>
    <mergeCell ref="B22:E22"/>
    <mergeCell ref="B32:E32"/>
    <mergeCell ref="B31:E31"/>
    <mergeCell ref="B17:E17"/>
    <mergeCell ref="B18:E18"/>
    <mergeCell ref="B23:E23"/>
    <mergeCell ref="B30:E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I1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36" customWidth="1"/>
    <col min="3" max="3" width="34" customWidth="1"/>
    <col min="4" max="4" width="16" customWidth="1"/>
    <col min="5" max="5" width="20" customWidth="1"/>
    <col min="6" max="6" width="18" customWidth="1"/>
    <col min="7" max="7" width="20" customWidth="1"/>
    <col min="8" max="8" width="22" customWidth="1"/>
    <col min="9" max="9" width="16" customWidth="1"/>
  </cols>
  <sheetData>
    <row r="1" spans="1:9" ht="32.1" customHeight="1" x14ac:dyDescent="0.25">
      <c r="A1" s="9" t="s">
        <v>93</v>
      </c>
      <c r="B1" s="9" t="s">
        <v>94</v>
      </c>
      <c r="C1" s="9" t="s">
        <v>95</v>
      </c>
      <c r="D1" s="9" t="s">
        <v>96</v>
      </c>
      <c r="E1" s="9" t="s">
        <v>97</v>
      </c>
      <c r="F1" s="9" t="s">
        <v>98</v>
      </c>
      <c r="G1" s="9" t="s">
        <v>99</v>
      </c>
      <c r="H1" s="9" t="s">
        <v>100</v>
      </c>
      <c r="I1" s="9" t="s">
        <v>101</v>
      </c>
    </row>
    <row r="2" spans="1:9" x14ac:dyDescent="0.25">
      <c r="A2" s="3" t="s">
        <v>102</v>
      </c>
      <c r="B2" s="3" t="s">
        <v>103</v>
      </c>
      <c r="C2" s="3" t="s">
        <v>104</v>
      </c>
      <c r="D2" s="10">
        <v>46296</v>
      </c>
      <c r="E2" s="3" t="s">
        <v>25</v>
      </c>
      <c r="F2" s="3" t="s">
        <v>28</v>
      </c>
      <c r="G2" s="11">
        <f>IF(A2="","",COUNTIF(CANDIDATOS!$B$2:$B$1000,A2))</f>
        <v>4</v>
      </c>
      <c r="H2" s="11">
        <f t="shared" ref="H2:H33" ca="1" si="0">IF(OR(A2="",D2=""),"",IF(F2="Cancelada","Cancelada",IF(F2="Cubierta",IF(I2="","Revisar fecha cierre",MAX(0,I2-D2)),TODAY()-D2)))</f>
        <v>15</v>
      </c>
      <c r="I2" s="10"/>
    </row>
    <row r="3" spans="1:9" x14ac:dyDescent="0.25">
      <c r="A3" s="3" t="s">
        <v>105</v>
      </c>
      <c r="B3" s="3" t="s">
        <v>106</v>
      </c>
      <c r="C3" s="3" t="s">
        <v>107</v>
      </c>
      <c r="D3" s="10">
        <v>46286</v>
      </c>
      <c r="E3" s="3" t="s">
        <v>32</v>
      </c>
      <c r="F3" s="3" t="s">
        <v>35</v>
      </c>
      <c r="G3" s="11">
        <f>IF(A3="","",COUNTIF(CANDIDATOS!$B$2:$B$1000,A3))</f>
        <v>4</v>
      </c>
      <c r="H3" s="11">
        <f t="shared" ca="1" si="0"/>
        <v>25</v>
      </c>
      <c r="I3" s="10"/>
    </row>
    <row r="4" spans="1:9" x14ac:dyDescent="0.25">
      <c r="A4" s="3" t="s">
        <v>108</v>
      </c>
      <c r="B4" s="3" t="s">
        <v>109</v>
      </c>
      <c r="C4" s="3" t="s">
        <v>110</v>
      </c>
      <c r="D4" s="10">
        <v>46293</v>
      </c>
      <c r="E4" s="3" t="s">
        <v>39</v>
      </c>
      <c r="F4" s="3" t="s">
        <v>35</v>
      </c>
      <c r="G4" s="11">
        <f>IF(A4="","",COUNTIF(CANDIDATOS!$B$2:$B$1000,A4))</f>
        <v>4</v>
      </c>
      <c r="H4" s="11">
        <f t="shared" ca="1" si="0"/>
        <v>18</v>
      </c>
      <c r="I4" s="10"/>
    </row>
    <row r="5" spans="1:9" x14ac:dyDescent="0.25">
      <c r="A5" s="3" t="s">
        <v>111</v>
      </c>
      <c r="B5" s="3" t="s">
        <v>112</v>
      </c>
      <c r="C5" s="3" t="s">
        <v>113</v>
      </c>
      <c r="D5" s="10">
        <v>46300</v>
      </c>
      <c r="E5" s="3" t="s">
        <v>46</v>
      </c>
      <c r="F5" s="3" t="s">
        <v>28</v>
      </c>
      <c r="G5" s="11">
        <f>IF(A5="","",COUNTIF(CANDIDATOS!$B$2:$B$1000,A5))</f>
        <v>4</v>
      </c>
      <c r="H5" s="11">
        <f t="shared" ca="1" si="0"/>
        <v>11</v>
      </c>
      <c r="I5" s="10"/>
    </row>
    <row r="6" spans="1:9" x14ac:dyDescent="0.25">
      <c r="A6" s="3" t="s">
        <v>114</v>
      </c>
      <c r="B6" s="3" t="s">
        <v>115</v>
      </c>
      <c r="C6" s="3" t="s">
        <v>116</v>
      </c>
      <c r="D6" s="10">
        <v>46273</v>
      </c>
      <c r="E6" s="3" t="s">
        <v>39</v>
      </c>
      <c r="F6" s="3" t="s">
        <v>42</v>
      </c>
      <c r="G6" s="11">
        <f>IF(A6="","",COUNTIF(CANDIDATOS!$B$2:$B$1000,A6))</f>
        <v>2</v>
      </c>
      <c r="H6" s="11">
        <f t="shared" ca="1" si="0"/>
        <v>34</v>
      </c>
      <c r="I6" s="10">
        <v>46307</v>
      </c>
    </row>
    <row r="7" spans="1:9" x14ac:dyDescent="0.25">
      <c r="D7" s="22"/>
      <c r="G7" t="str">
        <f>IF(A7="","",COUNTIF(CANDIDATOS!$B$2:$B$1000,A7))</f>
        <v/>
      </c>
      <c r="H7" t="str">
        <f t="shared" ca="1" si="0"/>
        <v/>
      </c>
      <c r="I7" s="22"/>
    </row>
    <row r="8" spans="1:9" x14ac:dyDescent="0.25">
      <c r="D8" s="22"/>
      <c r="G8" t="str">
        <f>IF(A8="","",COUNTIF(CANDIDATOS!$B$2:$B$1000,A8))</f>
        <v/>
      </c>
      <c r="H8" t="str">
        <f t="shared" ca="1" si="0"/>
        <v/>
      </c>
      <c r="I8" s="22"/>
    </row>
    <row r="9" spans="1:9" x14ac:dyDescent="0.25">
      <c r="D9" s="22"/>
      <c r="G9" t="str">
        <f>IF(A9="","",COUNTIF(CANDIDATOS!$B$2:$B$1000,A9))</f>
        <v/>
      </c>
      <c r="H9" t="str">
        <f t="shared" ca="1" si="0"/>
        <v/>
      </c>
      <c r="I9" s="22"/>
    </row>
    <row r="10" spans="1:9" x14ac:dyDescent="0.25">
      <c r="D10" s="22"/>
      <c r="G10" t="str">
        <f>IF(A10="","",COUNTIF(CANDIDATOS!$B$2:$B$1000,A10))</f>
        <v/>
      </c>
      <c r="H10" t="str">
        <f t="shared" ca="1" si="0"/>
        <v/>
      </c>
      <c r="I10" s="22"/>
    </row>
    <row r="11" spans="1:9" x14ac:dyDescent="0.25">
      <c r="D11" s="22"/>
      <c r="G11" t="str">
        <f>IF(A11="","",COUNTIF(CANDIDATOS!$B$2:$B$1000,A11))</f>
        <v/>
      </c>
      <c r="H11" t="str">
        <f t="shared" ca="1" si="0"/>
        <v/>
      </c>
      <c r="I11" s="22"/>
    </row>
    <row r="12" spans="1:9" x14ac:dyDescent="0.25">
      <c r="D12" s="22"/>
      <c r="G12" t="str">
        <f>IF(A12="","",COUNTIF(CANDIDATOS!$B$2:$B$1000,A12))</f>
        <v/>
      </c>
      <c r="H12" t="str">
        <f t="shared" ca="1" si="0"/>
        <v/>
      </c>
      <c r="I12" s="22"/>
    </row>
    <row r="13" spans="1:9" x14ac:dyDescent="0.25">
      <c r="D13" s="22"/>
      <c r="G13" t="str">
        <f>IF(A13="","",COUNTIF(CANDIDATOS!$B$2:$B$1000,A13))</f>
        <v/>
      </c>
      <c r="H13" t="str">
        <f t="shared" ca="1" si="0"/>
        <v/>
      </c>
      <c r="I13" s="22"/>
    </row>
    <row r="14" spans="1:9" x14ac:dyDescent="0.25">
      <c r="D14" s="22"/>
      <c r="G14" t="str">
        <f>IF(A14="","",COUNTIF(CANDIDATOS!$B$2:$B$1000,A14))</f>
        <v/>
      </c>
      <c r="H14" t="str">
        <f t="shared" ca="1" si="0"/>
        <v/>
      </c>
      <c r="I14" s="22"/>
    </row>
    <row r="15" spans="1:9" x14ac:dyDescent="0.25">
      <c r="D15" s="22"/>
      <c r="G15" t="str">
        <f>IF(A15="","",COUNTIF(CANDIDATOS!$B$2:$B$1000,A15))</f>
        <v/>
      </c>
      <c r="H15" t="str">
        <f t="shared" ca="1" si="0"/>
        <v/>
      </c>
      <c r="I15" s="22"/>
    </row>
    <row r="16" spans="1:9" x14ac:dyDescent="0.25">
      <c r="D16" s="22"/>
      <c r="G16" t="str">
        <f>IF(A16="","",COUNTIF(CANDIDATOS!$B$2:$B$1000,A16))</f>
        <v/>
      </c>
      <c r="H16" t="str">
        <f t="shared" ca="1" si="0"/>
        <v/>
      </c>
      <c r="I16" s="22"/>
    </row>
    <row r="17" spans="4:9" x14ac:dyDescent="0.25">
      <c r="D17" s="22"/>
      <c r="G17" t="str">
        <f>IF(A17="","",COUNTIF(CANDIDATOS!$B$2:$B$1000,A17))</f>
        <v/>
      </c>
      <c r="H17" t="str">
        <f t="shared" ca="1" si="0"/>
        <v/>
      </c>
      <c r="I17" s="22"/>
    </row>
    <row r="18" spans="4:9" x14ac:dyDescent="0.25">
      <c r="D18" s="22"/>
      <c r="G18" t="str">
        <f>IF(A18="","",COUNTIF(CANDIDATOS!$B$2:$B$1000,A18))</f>
        <v/>
      </c>
      <c r="H18" t="str">
        <f t="shared" ca="1" si="0"/>
        <v/>
      </c>
      <c r="I18" s="22"/>
    </row>
    <row r="19" spans="4:9" x14ac:dyDescent="0.25">
      <c r="D19" s="22"/>
      <c r="G19" t="str">
        <f>IF(A19="","",COUNTIF(CANDIDATOS!$B$2:$B$1000,A19))</f>
        <v/>
      </c>
      <c r="H19" t="str">
        <f t="shared" ca="1" si="0"/>
        <v/>
      </c>
      <c r="I19" s="22"/>
    </row>
    <row r="20" spans="4:9" x14ac:dyDescent="0.25">
      <c r="D20" s="22"/>
      <c r="G20" t="str">
        <f>IF(A20="","",COUNTIF(CANDIDATOS!$B$2:$B$1000,A20))</f>
        <v/>
      </c>
      <c r="H20" t="str">
        <f t="shared" ca="1" si="0"/>
        <v/>
      </c>
      <c r="I20" s="22"/>
    </row>
    <row r="21" spans="4:9" x14ac:dyDescent="0.25">
      <c r="D21" s="22"/>
      <c r="G21" t="str">
        <f>IF(A21="","",COUNTIF(CANDIDATOS!$B$2:$B$1000,A21))</f>
        <v/>
      </c>
      <c r="H21" t="str">
        <f t="shared" ca="1" si="0"/>
        <v/>
      </c>
      <c r="I21" s="22"/>
    </row>
    <row r="22" spans="4:9" x14ac:dyDescent="0.25">
      <c r="D22" s="22"/>
      <c r="G22" t="str">
        <f>IF(A22="","",COUNTIF(CANDIDATOS!$B$2:$B$1000,A22))</f>
        <v/>
      </c>
      <c r="H22" t="str">
        <f t="shared" ca="1" si="0"/>
        <v/>
      </c>
      <c r="I22" s="22"/>
    </row>
    <row r="23" spans="4:9" x14ac:dyDescent="0.25">
      <c r="D23" s="22"/>
      <c r="G23" t="str">
        <f>IF(A23="","",COUNTIF(CANDIDATOS!$B$2:$B$1000,A23))</f>
        <v/>
      </c>
      <c r="H23" t="str">
        <f t="shared" ca="1" si="0"/>
        <v/>
      </c>
      <c r="I23" s="22"/>
    </row>
    <row r="24" spans="4:9" x14ac:dyDescent="0.25">
      <c r="D24" s="22"/>
      <c r="G24" t="str">
        <f>IF(A24="","",COUNTIF(CANDIDATOS!$B$2:$B$1000,A24))</f>
        <v/>
      </c>
      <c r="H24" t="str">
        <f t="shared" ca="1" si="0"/>
        <v/>
      </c>
      <c r="I24" s="22"/>
    </row>
    <row r="25" spans="4:9" x14ac:dyDescent="0.25">
      <c r="D25" s="22"/>
      <c r="G25" t="str">
        <f>IF(A25="","",COUNTIF(CANDIDATOS!$B$2:$B$1000,A25))</f>
        <v/>
      </c>
      <c r="H25" t="str">
        <f t="shared" ca="1" si="0"/>
        <v/>
      </c>
      <c r="I25" s="22"/>
    </row>
    <row r="26" spans="4:9" x14ac:dyDescent="0.25">
      <c r="D26" s="22"/>
      <c r="G26" t="str">
        <f>IF(A26="","",COUNTIF(CANDIDATOS!$B$2:$B$1000,A26))</f>
        <v/>
      </c>
      <c r="H26" t="str">
        <f t="shared" ca="1" si="0"/>
        <v/>
      </c>
      <c r="I26" s="22"/>
    </row>
    <row r="27" spans="4:9" x14ac:dyDescent="0.25">
      <c r="D27" s="22"/>
      <c r="G27" t="str">
        <f>IF(A27="","",COUNTIF(CANDIDATOS!$B$2:$B$1000,A27))</f>
        <v/>
      </c>
      <c r="H27" t="str">
        <f t="shared" ca="1" si="0"/>
        <v/>
      </c>
      <c r="I27" s="22"/>
    </row>
    <row r="28" spans="4:9" x14ac:dyDescent="0.25">
      <c r="D28" s="22"/>
      <c r="G28" t="str">
        <f>IF(A28="","",COUNTIF(CANDIDATOS!$B$2:$B$1000,A28))</f>
        <v/>
      </c>
      <c r="H28" t="str">
        <f t="shared" ca="1" si="0"/>
        <v/>
      </c>
      <c r="I28" s="22"/>
    </row>
    <row r="29" spans="4:9" x14ac:dyDescent="0.25">
      <c r="D29" s="22"/>
      <c r="G29" t="str">
        <f>IF(A29="","",COUNTIF(CANDIDATOS!$B$2:$B$1000,A29))</f>
        <v/>
      </c>
      <c r="H29" t="str">
        <f t="shared" ca="1" si="0"/>
        <v/>
      </c>
      <c r="I29" s="22"/>
    </row>
    <row r="30" spans="4:9" x14ac:dyDescent="0.25">
      <c r="D30" s="22"/>
      <c r="G30" t="str">
        <f>IF(A30="","",COUNTIF(CANDIDATOS!$B$2:$B$1000,A30))</f>
        <v/>
      </c>
      <c r="H30" t="str">
        <f t="shared" ca="1" si="0"/>
        <v/>
      </c>
      <c r="I30" s="22"/>
    </row>
    <row r="31" spans="4:9" x14ac:dyDescent="0.25">
      <c r="D31" s="22"/>
      <c r="G31" t="str">
        <f>IF(A31="","",COUNTIF(CANDIDATOS!$B$2:$B$1000,A31))</f>
        <v/>
      </c>
      <c r="H31" t="str">
        <f t="shared" ca="1" si="0"/>
        <v/>
      </c>
      <c r="I31" s="22"/>
    </row>
    <row r="32" spans="4:9" x14ac:dyDescent="0.25">
      <c r="D32" s="22"/>
      <c r="G32" t="str">
        <f>IF(A32="","",COUNTIF(CANDIDATOS!$B$2:$B$1000,A32))</f>
        <v/>
      </c>
      <c r="H32" t="str">
        <f t="shared" ca="1" si="0"/>
        <v/>
      </c>
      <c r="I32" s="22"/>
    </row>
    <row r="33" spans="4:9" x14ac:dyDescent="0.25">
      <c r="D33" s="22"/>
      <c r="G33" t="str">
        <f>IF(A33="","",COUNTIF(CANDIDATOS!$B$2:$B$1000,A33))</f>
        <v/>
      </c>
      <c r="H33" t="str">
        <f t="shared" ca="1" si="0"/>
        <v/>
      </c>
      <c r="I33" s="22"/>
    </row>
    <row r="34" spans="4:9" x14ac:dyDescent="0.25">
      <c r="D34" s="22"/>
      <c r="G34" t="str">
        <f>IF(A34="","",COUNTIF(CANDIDATOS!$B$2:$B$1000,A34))</f>
        <v/>
      </c>
      <c r="H34" t="str">
        <f t="shared" ref="H34:H65" ca="1" si="1">IF(OR(A34="",D34=""),"",IF(F34="Cancelada","Cancelada",IF(F34="Cubierta",IF(I34="","Revisar fecha cierre",MAX(0,I34-D34)),TODAY()-D34)))</f>
        <v/>
      </c>
      <c r="I34" s="22"/>
    </row>
    <row r="35" spans="4:9" x14ac:dyDescent="0.25">
      <c r="D35" s="22"/>
      <c r="G35" t="str">
        <f>IF(A35="","",COUNTIF(CANDIDATOS!$B$2:$B$1000,A35))</f>
        <v/>
      </c>
      <c r="H35" t="str">
        <f t="shared" ca="1" si="1"/>
        <v/>
      </c>
      <c r="I35" s="22"/>
    </row>
    <row r="36" spans="4:9" x14ac:dyDescent="0.25">
      <c r="D36" s="22"/>
      <c r="G36" t="str">
        <f>IF(A36="","",COUNTIF(CANDIDATOS!$B$2:$B$1000,A36))</f>
        <v/>
      </c>
      <c r="H36" t="str">
        <f t="shared" ca="1" si="1"/>
        <v/>
      </c>
      <c r="I36" s="22"/>
    </row>
    <row r="37" spans="4:9" x14ac:dyDescent="0.25">
      <c r="D37" s="22"/>
      <c r="G37" t="str">
        <f>IF(A37="","",COUNTIF(CANDIDATOS!$B$2:$B$1000,A37))</f>
        <v/>
      </c>
      <c r="H37" t="str">
        <f t="shared" ca="1" si="1"/>
        <v/>
      </c>
      <c r="I37" s="22"/>
    </row>
    <row r="38" spans="4:9" x14ac:dyDescent="0.25">
      <c r="D38" s="22"/>
      <c r="G38" t="str">
        <f>IF(A38="","",COUNTIF(CANDIDATOS!$B$2:$B$1000,A38))</f>
        <v/>
      </c>
      <c r="H38" t="str">
        <f t="shared" ca="1" si="1"/>
        <v/>
      </c>
      <c r="I38" s="22"/>
    </row>
    <row r="39" spans="4:9" x14ac:dyDescent="0.25">
      <c r="D39" s="22"/>
      <c r="G39" t="str">
        <f>IF(A39="","",COUNTIF(CANDIDATOS!$B$2:$B$1000,A39))</f>
        <v/>
      </c>
      <c r="H39" t="str">
        <f t="shared" ca="1" si="1"/>
        <v/>
      </c>
      <c r="I39" s="22"/>
    </row>
    <row r="40" spans="4:9" x14ac:dyDescent="0.25">
      <c r="D40" s="22"/>
      <c r="G40" t="str">
        <f>IF(A40="","",COUNTIF(CANDIDATOS!$B$2:$B$1000,A40))</f>
        <v/>
      </c>
      <c r="H40" t="str">
        <f t="shared" ca="1" si="1"/>
        <v/>
      </c>
      <c r="I40" s="22"/>
    </row>
    <row r="41" spans="4:9" x14ac:dyDescent="0.25">
      <c r="D41" s="22"/>
      <c r="G41" t="str">
        <f>IF(A41="","",COUNTIF(CANDIDATOS!$B$2:$B$1000,A41))</f>
        <v/>
      </c>
      <c r="H41" t="str">
        <f t="shared" ca="1" si="1"/>
        <v/>
      </c>
      <c r="I41" s="22"/>
    </row>
    <row r="42" spans="4:9" x14ac:dyDescent="0.25">
      <c r="D42" s="22"/>
      <c r="G42" t="str">
        <f>IF(A42="","",COUNTIF(CANDIDATOS!$B$2:$B$1000,A42))</f>
        <v/>
      </c>
      <c r="H42" t="str">
        <f t="shared" ca="1" si="1"/>
        <v/>
      </c>
      <c r="I42" s="22"/>
    </row>
    <row r="43" spans="4:9" x14ac:dyDescent="0.25">
      <c r="D43" s="22"/>
      <c r="G43" t="str">
        <f>IF(A43="","",COUNTIF(CANDIDATOS!$B$2:$B$1000,A43))</f>
        <v/>
      </c>
      <c r="H43" t="str">
        <f t="shared" ca="1" si="1"/>
        <v/>
      </c>
      <c r="I43" s="22"/>
    </row>
    <row r="44" spans="4:9" x14ac:dyDescent="0.25">
      <c r="D44" s="22"/>
      <c r="G44" t="str">
        <f>IF(A44="","",COUNTIF(CANDIDATOS!$B$2:$B$1000,A44))</f>
        <v/>
      </c>
      <c r="H44" t="str">
        <f t="shared" ca="1" si="1"/>
        <v/>
      </c>
      <c r="I44" s="22"/>
    </row>
    <row r="45" spans="4:9" x14ac:dyDescent="0.25">
      <c r="D45" s="22"/>
      <c r="G45" t="str">
        <f>IF(A45="","",COUNTIF(CANDIDATOS!$B$2:$B$1000,A45))</f>
        <v/>
      </c>
      <c r="H45" t="str">
        <f t="shared" ca="1" si="1"/>
        <v/>
      </c>
      <c r="I45" s="22"/>
    </row>
    <row r="46" spans="4:9" x14ac:dyDescent="0.25">
      <c r="D46" s="22"/>
      <c r="G46" t="str">
        <f>IF(A46="","",COUNTIF(CANDIDATOS!$B$2:$B$1000,A46))</f>
        <v/>
      </c>
      <c r="H46" t="str">
        <f t="shared" ca="1" si="1"/>
        <v/>
      </c>
      <c r="I46" s="22"/>
    </row>
    <row r="47" spans="4:9" x14ac:dyDescent="0.25">
      <c r="D47" s="22"/>
      <c r="G47" t="str">
        <f>IF(A47="","",COUNTIF(CANDIDATOS!$B$2:$B$1000,A47))</f>
        <v/>
      </c>
      <c r="H47" t="str">
        <f t="shared" ca="1" si="1"/>
        <v/>
      </c>
      <c r="I47" s="22"/>
    </row>
    <row r="48" spans="4:9" x14ac:dyDescent="0.25">
      <c r="D48" s="22"/>
      <c r="G48" t="str">
        <f>IF(A48="","",COUNTIF(CANDIDATOS!$B$2:$B$1000,A48))</f>
        <v/>
      </c>
      <c r="H48" t="str">
        <f t="shared" ca="1" si="1"/>
        <v/>
      </c>
      <c r="I48" s="22"/>
    </row>
    <row r="49" spans="4:9" x14ac:dyDescent="0.25">
      <c r="D49" s="22"/>
      <c r="G49" t="str">
        <f>IF(A49="","",COUNTIF(CANDIDATOS!$B$2:$B$1000,A49))</f>
        <v/>
      </c>
      <c r="H49" t="str">
        <f t="shared" ca="1" si="1"/>
        <v/>
      </c>
      <c r="I49" s="22"/>
    </row>
    <row r="50" spans="4:9" x14ac:dyDescent="0.25">
      <c r="D50" s="22"/>
      <c r="G50" t="str">
        <f>IF(A50="","",COUNTIF(CANDIDATOS!$B$2:$B$1000,A50))</f>
        <v/>
      </c>
      <c r="H50" t="str">
        <f t="shared" ca="1" si="1"/>
        <v/>
      </c>
      <c r="I50" s="22"/>
    </row>
    <row r="51" spans="4:9" x14ac:dyDescent="0.25">
      <c r="D51" s="22"/>
      <c r="G51" t="str">
        <f>IF(A51="","",COUNTIF(CANDIDATOS!$B$2:$B$1000,A51))</f>
        <v/>
      </c>
      <c r="H51" t="str">
        <f t="shared" ca="1" si="1"/>
        <v/>
      </c>
      <c r="I51" s="22"/>
    </row>
    <row r="52" spans="4:9" x14ac:dyDescent="0.25">
      <c r="D52" s="22"/>
      <c r="G52" t="str">
        <f>IF(A52="","",COUNTIF(CANDIDATOS!$B$2:$B$1000,A52))</f>
        <v/>
      </c>
      <c r="H52" t="str">
        <f t="shared" ca="1" si="1"/>
        <v/>
      </c>
      <c r="I52" s="22"/>
    </row>
    <row r="53" spans="4:9" x14ac:dyDescent="0.25">
      <c r="D53" s="22"/>
      <c r="G53" t="str">
        <f>IF(A53="","",COUNTIF(CANDIDATOS!$B$2:$B$1000,A53))</f>
        <v/>
      </c>
      <c r="H53" t="str">
        <f t="shared" ca="1" si="1"/>
        <v/>
      </c>
      <c r="I53" s="22"/>
    </row>
    <row r="54" spans="4:9" x14ac:dyDescent="0.25">
      <c r="D54" s="22"/>
      <c r="G54" t="str">
        <f>IF(A54="","",COUNTIF(CANDIDATOS!$B$2:$B$1000,A54))</f>
        <v/>
      </c>
      <c r="H54" t="str">
        <f t="shared" ca="1" si="1"/>
        <v/>
      </c>
      <c r="I54" s="22"/>
    </row>
    <row r="55" spans="4:9" x14ac:dyDescent="0.25">
      <c r="D55" s="22"/>
      <c r="G55" t="str">
        <f>IF(A55="","",COUNTIF(CANDIDATOS!$B$2:$B$1000,A55))</f>
        <v/>
      </c>
      <c r="H55" t="str">
        <f t="shared" ca="1" si="1"/>
        <v/>
      </c>
      <c r="I55" s="22"/>
    </row>
    <row r="56" spans="4:9" x14ac:dyDescent="0.25">
      <c r="D56" s="22"/>
      <c r="G56" t="str">
        <f>IF(A56="","",COUNTIF(CANDIDATOS!$B$2:$B$1000,A56))</f>
        <v/>
      </c>
      <c r="H56" t="str">
        <f t="shared" ca="1" si="1"/>
        <v/>
      </c>
      <c r="I56" s="22"/>
    </row>
    <row r="57" spans="4:9" x14ac:dyDescent="0.25">
      <c r="D57" s="22"/>
      <c r="G57" t="str">
        <f>IF(A57="","",COUNTIF(CANDIDATOS!$B$2:$B$1000,A57))</f>
        <v/>
      </c>
      <c r="H57" t="str">
        <f t="shared" ca="1" si="1"/>
        <v/>
      </c>
      <c r="I57" s="22"/>
    </row>
    <row r="58" spans="4:9" x14ac:dyDescent="0.25">
      <c r="D58" s="22"/>
      <c r="G58" t="str">
        <f>IF(A58="","",COUNTIF(CANDIDATOS!$B$2:$B$1000,A58))</f>
        <v/>
      </c>
      <c r="H58" t="str">
        <f t="shared" ca="1" si="1"/>
        <v/>
      </c>
      <c r="I58" s="22"/>
    </row>
    <row r="59" spans="4:9" x14ac:dyDescent="0.25">
      <c r="D59" s="22"/>
      <c r="G59" t="str">
        <f>IF(A59="","",COUNTIF(CANDIDATOS!$B$2:$B$1000,A59))</f>
        <v/>
      </c>
      <c r="H59" t="str">
        <f t="shared" ca="1" si="1"/>
        <v/>
      </c>
      <c r="I59" s="22"/>
    </row>
    <row r="60" spans="4:9" x14ac:dyDescent="0.25">
      <c r="D60" s="22"/>
      <c r="G60" t="str">
        <f>IF(A60="","",COUNTIF(CANDIDATOS!$B$2:$B$1000,A60))</f>
        <v/>
      </c>
      <c r="H60" t="str">
        <f t="shared" ca="1" si="1"/>
        <v/>
      </c>
      <c r="I60" s="22"/>
    </row>
    <row r="61" spans="4:9" x14ac:dyDescent="0.25">
      <c r="D61" s="22"/>
      <c r="G61" t="str">
        <f>IF(A61="","",COUNTIF(CANDIDATOS!$B$2:$B$1000,A61))</f>
        <v/>
      </c>
      <c r="H61" t="str">
        <f t="shared" ca="1" si="1"/>
        <v/>
      </c>
      <c r="I61" s="22"/>
    </row>
    <row r="62" spans="4:9" x14ac:dyDescent="0.25">
      <c r="D62" s="22"/>
      <c r="G62" t="str">
        <f>IF(A62="","",COUNTIF(CANDIDATOS!$B$2:$B$1000,A62))</f>
        <v/>
      </c>
      <c r="H62" t="str">
        <f t="shared" ca="1" si="1"/>
        <v/>
      </c>
      <c r="I62" s="22"/>
    </row>
    <row r="63" spans="4:9" x14ac:dyDescent="0.25">
      <c r="D63" s="22"/>
      <c r="G63" t="str">
        <f>IF(A63="","",COUNTIF(CANDIDATOS!$B$2:$B$1000,A63))</f>
        <v/>
      </c>
      <c r="H63" t="str">
        <f t="shared" ca="1" si="1"/>
        <v/>
      </c>
      <c r="I63" s="22"/>
    </row>
    <row r="64" spans="4:9" x14ac:dyDescent="0.25">
      <c r="D64" s="22"/>
      <c r="G64" t="str">
        <f>IF(A64="","",COUNTIF(CANDIDATOS!$B$2:$B$1000,A64))</f>
        <v/>
      </c>
      <c r="H64" t="str">
        <f t="shared" ca="1" si="1"/>
        <v/>
      </c>
      <c r="I64" s="22"/>
    </row>
    <row r="65" spans="4:9" x14ac:dyDescent="0.25">
      <c r="D65" s="22"/>
      <c r="G65" t="str">
        <f>IF(A65="","",COUNTIF(CANDIDATOS!$B$2:$B$1000,A65))</f>
        <v/>
      </c>
      <c r="H65" t="str">
        <f t="shared" ca="1" si="1"/>
        <v/>
      </c>
      <c r="I65" s="22"/>
    </row>
    <row r="66" spans="4:9" x14ac:dyDescent="0.25">
      <c r="D66" s="22"/>
      <c r="G66" t="str">
        <f>IF(A66="","",COUNTIF(CANDIDATOS!$B$2:$B$1000,A66))</f>
        <v/>
      </c>
      <c r="H66" t="str">
        <f t="shared" ref="H66:H97" ca="1" si="2">IF(OR(A66="",D66=""),"",IF(F66="Cancelada","Cancelada",IF(F66="Cubierta",IF(I66="","Revisar fecha cierre",MAX(0,I66-D66)),TODAY()-D66)))</f>
        <v/>
      </c>
      <c r="I66" s="22"/>
    </row>
    <row r="67" spans="4:9" x14ac:dyDescent="0.25">
      <c r="D67" s="22"/>
      <c r="G67" t="str">
        <f>IF(A67="","",COUNTIF(CANDIDATOS!$B$2:$B$1000,A67))</f>
        <v/>
      </c>
      <c r="H67" t="str">
        <f t="shared" ca="1" si="2"/>
        <v/>
      </c>
      <c r="I67" s="22"/>
    </row>
    <row r="68" spans="4:9" x14ac:dyDescent="0.25">
      <c r="D68" s="22"/>
      <c r="G68" t="str">
        <f>IF(A68="","",COUNTIF(CANDIDATOS!$B$2:$B$1000,A68))</f>
        <v/>
      </c>
      <c r="H68" t="str">
        <f t="shared" ca="1" si="2"/>
        <v/>
      </c>
      <c r="I68" s="22"/>
    </row>
    <row r="69" spans="4:9" x14ac:dyDescent="0.25">
      <c r="D69" s="22"/>
      <c r="G69" t="str">
        <f>IF(A69="","",COUNTIF(CANDIDATOS!$B$2:$B$1000,A69))</f>
        <v/>
      </c>
      <c r="H69" t="str">
        <f t="shared" ca="1" si="2"/>
        <v/>
      </c>
      <c r="I69" s="22"/>
    </row>
    <row r="70" spans="4:9" x14ac:dyDescent="0.25">
      <c r="D70" s="22"/>
      <c r="G70" t="str">
        <f>IF(A70="","",COUNTIF(CANDIDATOS!$B$2:$B$1000,A70))</f>
        <v/>
      </c>
      <c r="H70" t="str">
        <f t="shared" ca="1" si="2"/>
        <v/>
      </c>
      <c r="I70" s="22"/>
    </row>
    <row r="71" spans="4:9" x14ac:dyDescent="0.25">
      <c r="D71" s="22"/>
      <c r="G71" t="str">
        <f>IF(A71="","",COUNTIF(CANDIDATOS!$B$2:$B$1000,A71))</f>
        <v/>
      </c>
      <c r="H71" t="str">
        <f t="shared" ca="1" si="2"/>
        <v/>
      </c>
      <c r="I71" s="22"/>
    </row>
    <row r="72" spans="4:9" x14ac:dyDescent="0.25">
      <c r="D72" s="22"/>
      <c r="G72" t="str">
        <f>IF(A72="","",COUNTIF(CANDIDATOS!$B$2:$B$1000,A72))</f>
        <v/>
      </c>
      <c r="H72" t="str">
        <f t="shared" ca="1" si="2"/>
        <v/>
      </c>
      <c r="I72" s="22"/>
    </row>
    <row r="73" spans="4:9" x14ac:dyDescent="0.25">
      <c r="D73" s="22"/>
      <c r="G73" t="str">
        <f>IF(A73="","",COUNTIF(CANDIDATOS!$B$2:$B$1000,A73))</f>
        <v/>
      </c>
      <c r="H73" t="str">
        <f t="shared" ca="1" si="2"/>
        <v/>
      </c>
      <c r="I73" s="22"/>
    </row>
    <row r="74" spans="4:9" x14ac:dyDescent="0.25">
      <c r="D74" s="22"/>
      <c r="G74" t="str">
        <f>IF(A74="","",COUNTIF(CANDIDATOS!$B$2:$B$1000,A74))</f>
        <v/>
      </c>
      <c r="H74" t="str">
        <f t="shared" ca="1" si="2"/>
        <v/>
      </c>
      <c r="I74" s="22"/>
    </row>
    <row r="75" spans="4:9" x14ac:dyDescent="0.25">
      <c r="D75" s="22"/>
      <c r="G75" t="str">
        <f>IF(A75="","",COUNTIF(CANDIDATOS!$B$2:$B$1000,A75))</f>
        <v/>
      </c>
      <c r="H75" t="str">
        <f t="shared" ca="1" si="2"/>
        <v/>
      </c>
      <c r="I75" s="22"/>
    </row>
    <row r="76" spans="4:9" x14ac:dyDescent="0.25">
      <c r="D76" s="22"/>
      <c r="G76" t="str">
        <f>IF(A76="","",COUNTIF(CANDIDATOS!$B$2:$B$1000,A76))</f>
        <v/>
      </c>
      <c r="H76" t="str">
        <f t="shared" ca="1" si="2"/>
        <v/>
      </c>
      <c r="I76" s="22"/>
    </row>
    <row r="77" spans="4:9" x14ac:dyDescent="0.25">
      <c r="D77" s="22"/>
      <c r="G77" t="str">
        <f>IF(A77="","",COUNTIF(CANDIDATOS!$B$2:$B$1000,A77))</f>
        <v/>
      </c>
      <c r="H77" t="str">
        <f t="shared" ca="1" si="2"/>
        <v/>
      </c>
      <c r="I77" s="22"/>
    </row>
    <row r="78" spans="4:9" x14ac:dyDescent="0.25">
      <c r="D78" s="22"/>
      <c r="G78" t="str">
        <f>IF(A78="","",COUNTIF(CANDIDATOS!$B$2:$B$1000,A78))</f>
        <v/>
      </c>
      <c r="H78" t="str">
        <f t="shared" ca="1" si="2"/>
        <v/>
      </c>
      <c r="I78" s="22"/>
    </row>
    <row r="79" spans="4:9" x14ac:dyDescent="0.25">
      <c r="D79" s="22"/>
      <c r="G79" t="str">
        <f>IF(A79="","",COUNTIF(CANDIDATOS!$B$2:$B$1000,A79))</f>
        <v/>
      </c>
      <c r="H79" t="str">
        <f t="shared" ca="1" si="2"/>
        <v/>
      </c>
      <c r="I79" s="22"/>
    </row>
    <row r="80" spans="4:9" x14ac:dyDescent="0.25">
      <c r="D80" s="22"/>
      <c r="G80" t="str">
        <f>IF(A80="","",COUNTIF(CANDIDATOS!$B$2:$B$1000,A80))</f>
        <v/>
      </c>
      <c r="H80" t="str">
        <f t="shared" ca="1" si="2"/>
        <v/>
      </c>
      <c r="I80" s="22"/>
    </row>
    <row r="81" spans="4:9" x14ac:dyDescent="0.25">
      <c r="D81" s="22"/>
      <c r="G81" t="str">
        <f>IF(A81="","",COUNTIF(CANDIDATOS!$B$2:$B$1000,A81))</f>
        <v/>
      </c>
      <c r="H81" t="str">
        <f t="shared" ca="1" si="2"/>
        <v/>
      </c>
      <c r="I81" s="22"/>
    </row>
    <row r="82" spans="4:9" x14ac:dyDescent="0.25">
      <c r="D82" s="22"/>
      <c r="G82" t="str">
        <f>IF(A82="","",COUNTIF(CANDIDATOS!$B$2:$B$1000,A82))</f>
        <v/>
      </c>
      <c r="H82" t="str">
        <f t="shared" ca="1" si="2"/>
        <v/>
      </c>
      <c r="I82" s="22"/>
    </row>
    <row r="83" spans="4:9" x14ac:dyDescent="0.25">
      <c r="D83" s="22"/>
      <c r="G83" t="str">
        <f>IF(A83="","",COUNTIF(CANDIDATOS!$B$2:$B$1000,A83))</f>
        <v/>
      </c>
      <c r="H83" t="str">
        <f t="shared" ca="1" si="2"/>
        <v/>
      </c>
      <c r="I83" s="22"/>
    </row>
    <row r="84" spans="4:9" x14ac:dyDescent="0.25">
      <c r="D84" s="22"/>
      <c r="G84" t="str">
        <f>IF(A84="","",COUNTIF(CANDIDATOS!$B$2:$B$1000,A84))</f>
        <v/>
      </c>
      <c r="H84" t="str">
        <f t="shared" ca="1" si="2"/>
        <v/>
      </c>
      <c r="I84" s="22"/>
    </row>
    <row r="85" spans="4:9" x14ac:dyDescent="0.25">
      <c r="D85" s="22"/>
      <c r="G85" t="str">
        <f>IF(A85="","",COUNTIF(CANDIDATOS!$B$2:$B$1000,A85))</f>
        <v/>
      </c>
      <c r="H85" t="str">
        <f t="shared" ca="1" si="2"/>
        <v/>
      </c>
      <c r="I85" s="22"/>
    </row>
    <row r="86" spans="4:9" x14ac:dyDescent="0.25">
      <c r="D86" s="22"/>
      <c r="G86" t="str">
        <f>IF(A86="","",COUNTIF(CANDIDATOS!$B$2:$B$1000,A86))</f>
        <v/>
      </c>
      <c r="H86" t="str">
        <f t="shared" ca="1" si="2"/>
        <v/>
      </c>
      <c r="I86" s="22"/>
    </row>
    <row r="87" spans="4:9" x14ac:dyDescent="0.25">
      <c r="D87" s="22"/>
      <c r="G87" t="str">
        <f>IF(A87="","",COUNTIF(CANDIDATOS!$B$2:$B$1000,A87))</f>
        <v/>
      </c>
      <c r="H87" t="str">
        <f t="shared" ca="1" si="2"/>
        <v/>
      </c>
      <c r="I87" s="22"/>
    </row>
    <row r="88" spans="4:9" x14ac:dyDescent="0.25">
      <c r="D88" s="22"/>
      <c r="G88" t="str">
        <f>IF(A88="","",COUNTIF(CANDIDATOS!$B$2:$B$1000,A88))</f>
        <v/>
      </c>
      <c r="H88" t="str">
        <f t="shared" ca="1" si="2"/>
        <v/>
      </c>
      <c r="I88" s="22"/>
    </row>
    <row r="89" spans="4:9" x14ac:dyDescent="0.25">
      <c r="D89" s="22"/>
      <c r="G89" t="str">
        <f>IF(A89="","",COUNTIF(CANDIDATOS!$B$2:$B$1000,A89))</f>
        <v/>
      </c>
      <c r="H89" t="str">
        <f t="shared" ca="1" si="2"/>
        <v/>
      </c>
      <c r="I89" s="22"/>
    </row>
    <row r="90" spans="4:9" x14ac:dyDescent="0.25">
      <c r="D90" s="22"/>
      <c r="G90" t="str">
        <f>IF(A90="","",COUNTIF(CANDIDATOS!$B$2:$B$1000,A90))</f>
        <v/>
      </c>
      <c r="H90" t="str">
        <f t="shared" ca="1" si="2"/>
        <v/>
      </c>
      <c r="I90" s="22"/>
    </row>
    <row r="91" spans="4:9" x14ac:dyDescent="0.25">
      <c r="D91" s="22"/>
      <c r="G91" t="str">
        <f>IF(A91="","",COUNTIF(CANDIDATOS!$B$2:$B$1000,A91))</f>
        <v/>
      </c>
      <c r="H91" t="str">
        <f t="shared" ca="1" si="2"/>
        <v/>
      </c>
      <c r="I91" s="22"/>
    </row>
    <row r="92" spans="4:9" x14ac:dyDescent="0.25">
      <c r="D92" s="22"/>
      <c r="G92" t="str">
        <f>IF(A92="","",COUNTIF(CANDIDATOS!$B$2:$B$1000,A92))</f>
        <v/>
      </c>
      <c r="H92" t="str">
        <f t="shared" ca="1" si="2"/>
        <v/>
      </c>
      <c r="I92" s="22"/>
    </row>
    <row r="93" spans="4:9" x14ac:dyDescent="0.25">
      <c r="D93" s="22"/>
      <c r="G93" t="str">
        <f>IF(A93="","",COUNTIF(CANDIDATOS!$B$2:$B$1000,A93))</f>
        <v/>
      </c>
      <c r="H93" t="str">
        <f t="shared" ca="1" si="2"/>
        <v/>
      </c>
      <c r="I93" s="22"/>
    </row>
    <row r="94" spans="4:9" x14ac:dyDescent="0.25">
      <c r="D94" s="22"/>
      <c r="G94" t="str">
        <f>IF(A94="","",COUNTIF(CANDIDATOS!$B$2:$B$1000,A94))</f>
        <v/>
      </c>
      <c r="H94" t="str">
        <f t="shared" ca="1" si="2"/>
        <v/>
      </c>
      <c r="I94" s="22"/>
    </row>
    <row r="95" spans="4:9" x14ac:dyDescent="0.25">
      <c r="D95" s="22"/>
      <c r="G95" t="str">
        <f>IF(A95="","",COUNTIF(CANDIDATOS!$B$2:$B$1000,A95))</f>
        <v/>
      </c>
      <c r="H95" t="str">
        <f t="shared" ca="1" si="2"/>
        <v/>
      </c>
      <c r="I95" s="22"/>
    </row>
    <row r="96" spans="4:9" x14ac:dyDescent="0.25">
      <c r="D96" s="22"/>
      <c r="G96" t="str">
        <f>IF(A96="","",COUNTIF(CANDIDATOS!$B$2:$B$1000,A96))</f>
        <v/>
      </c>
      <c r="H96" t="str">
        <f t="shared" ca="1" si="2"/>
        <v/>
      </c>
      <c r="I96" s="22"/>
    </row>
    <row r="97" spans="4:9" x14ac:dyDescent="0.25">
      <c r="D97" s="22"/>
      <c r="G97" t="str">
        <f>IF(A97="","",COUNTIF(CANDIDATOS!$B$2:$B$1000,A97))</f>
        <v/>
      </c>
      <c r="H97" t="str">
        <f t="shared" ca="1" si="2"/>
        <v/>
      </c>
      <c r="I97" s="22"/>
    </row>
    <row r="98" spans="4:9" x14ac:dyDescent="0.25">
      <c r="D98" s="22"/>
      <c r="G98" t="str">
        <f>IF(A98="","",COUNTIF(CANDIDATOS!$B$2:$B$1000,A98))</f>
        <v/>
      </c>
      <c r="H98" t="str">
        <f t="shared" ref="H98:H100" ca="1" si="3">IF(OR(A98="",D98=""),"",IF(F98="Cancelada","Cancelada",IF(F98="Cubierta",IF(I98="","Revisar fecha cierre",MAX(0,I98-D98)),TODAY()-D98)))</f>
        <v/>
      </c>
      <c r="I98" s="22"/>
    </row>
    <row r="99" spans="4:9" x14ac:dyDescent="0.25">
      <c r="D99" s="22"/>
      <c r="G99" t="str">
        <f>IF(A99="","",COUNTIF(CANDIDATOS!$B$2:$B$1000,A99))</f>
        <v/>
      </c>
      <c r="H99" t="str">
        <f t="shared" ca="1" si="3"/>
        <v/>
      </c>
      <c r="I99" s="22"/>
    </row>
    <row r="100" spans="4:9" x14ac:dyDescent="0.25">
      <c r="D100" s="22"/>
      <c r="G100" t="str">
        <f>IF(A100="","",COUNTIF(CANDIDATOS!$B$2:$B$1000,A100))</f>
        <v/>
      </c>
      <c r="H100" t="str">
        <f t="shared" ca="1" si="3"/>
        <v/>
      </c>
      <c r="I100" s="22"/>
    </row>
  </sheetData>
  <autoFilter ref="A1:I100" xr:uid="{00000000-0009-0000-0000-000001000000}"/>
  <dataValidations count="2">
    <dataValidation type="list" allowBlank="1" showErrorMessage="1" errorTitle="Valor no válido" error="Seleccione un portal de la lista." sqref="E2:E100" xr:uid="{00000000-0002-0000-0100-000000000000}">
      <formula1>lstPortales</formula1>
    </dataValidation>
    <dataValidation type="list" showErrorMessage="1" errorTitle="Estado no válido" error="Seleccione un estado de la lista." sqref="F2:F100" xr:uid="{00000000-0002-0000-0100-000001000000}">
      <formula1>lstEstadosVacante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  <pageSetUpPr fitToPage="1"/>
  </sheetPr>
  <dimension ref="A1:M100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18" customWidth="1"/>
    <col min="3" max="3" width="20" customWidth="1"/>
    <col min="4" max="4" width="15" customWidth="1"/>
    <col min="5" max="5" width="24" customWidth="1"/>
    <col min="6" max="6" width="20" customWidth="1"/>
    <col min="7" max="7" width="32" customWidth="1"/>
    <col min="8" max="8" width="17" customWidth="1"/>
    <col min="9" max="9" width="20" customWidth="1"/>
    <col min="10" max="10" width="25" customWidth="1"/>
    <col min="11" max="11" width="20" customWidth="1"/>
    <col min="12" max="12" width="22" customWidth="1"/>
    <col min="13" max="13" width="25" customWidth="1"/>
  </cols>
  <sheetData>
    <row r="1" spans="1:13" ht="32.1" customHeight="1" x14ac:dyDescent="0.25">
      <c r="A1" s="12" t="s">
        <v>117</v>
      </c>
      <c r="B1" s="12" t="s">
        <v>93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122</v>
      </c>
      <c r="H1" s="12" t="s">
        <v>123</v>
      </c>
      <c r="I1" s="12" t="s">
        <v>124</v>
      </c>
      <c r="J1" s="12" t="s">
        <v>125</v>
      </c>
      <c r="K1" s="12" t="s">
        <v>126</v>
      </c>
      <c r="L1" s="12" t="s">
        <v>127</v>
      </c>
      <c r="M1" s="23" t="s">
        <v>128</v>
      </c>
    </row>
    <row r="2" spans="1:13" x14ac:dyDescent="0.25">
      <c r="A2" s="3" t="s">
        <v>129</v>
      </c>
      <c r="B2" s="3" t="s">
        <v>102</v>
      </c>
      <c r="C2" s="3" t="s">
        <v>25</v>
      </c>
      <c r="D2" s="10">
        <v>46308</v>
      </c>
      <c r="E2" s="3" t="s">
        <v>22</v>
      </c>
      <c r="F2" s="10"/>
      <c r="G2" s="3"/>
      <c r="H2" s="10"/>
      <c r="I2" s="3" t="s">
        <v>38</v>
      </c>
      <c r="J2" s="3" t="s">
        <v>33</v>
      </c>
      <c r="K2" s="10">
        <f ca="1">TODAY()+2</f>
        <v>46313</v>
      </c>
      <c r="L2" s="13" t="str">
        <f t="shared" ref="L2:L65" ca="1" si="0">IF(A2="","",IF(OR(E2="Contratado",E2="Descartado",E2="Retirado",G2="No Contesta (Intento 3 - Final)",G2="Datos Erróneos"),"Cerrado",IF(K2="","Sin Fecha Programada",IF(K2&lt;TODAY(),"VENCIDO",IF(K2=TODAY(),"HOY","En Plazo")))))</f>
        <v>En Plazo</v>
      </c>
      <c r="M2" t="s">
        <v>27</v>
      </c>
    </row>
    <row r="3" spans="1:13" x14ac:dyDescent="0.25">
      <c r="A3" s="3" t="s">
        <v>130</v>
      </c>
      <c r="B3" s="3" t="s">
        <v>102</v>
      </c>
      <c r="C3" s="3" t="s">
        <v>32</v>
      </c>
      <c r="D3" s="10">
        <v>46301</v>
      </c>
      <c r="E3" s="3" t="s">
        <v>36</v>
      </c>
      <c r="F3" s="10">
        <v>46307</v>
      </c>
      <c r="G3" s="3" t="s">
        <v>23</v>
      </c>
      <c r="H3" s="10"/>
      <c r="I3" s="3" t="s">
        <v>38</v>
      </c>
      <c r="J3" s="3" t="s">
        <v>26</v>
      </c>
      <c r="K3" s="10">
        <f ca="1">TODAY()-3</f>
        <v>46308</v>
      </c>
      <c r="L3" s="13" t="str">
        <f t="shared" ca="1" si="0"/>
        <v>VENCIDO</v>
      </c>
      <c r="M3" t="s">
        <v>27</v>
      </c>
    </row>
    <row r="4" spans="1:13" x14ac:dyDescent="0.25">
      <c r="A4" s="3" t="s">
        <v>131</v>
      </c>
      <c r="B4" s="3" t="s">
        <v>105</v>
      </c>
      <c r="C4" s="3" t="s">
        <v>39</v>
      </c>
      <c r="D4" s="10">
        <v>46296</v>
      </c>
      <c r="E4" s="3" t="s">
        <v>62</v>
      </c>
      <c r="F4" s="10">
        <v>46302</v>
      </c>
      <c r="G4" s="3" t="s">
        <v>30</v>
      </c>
      <c r="H4" s="10"/>
      <c r="I4" s="3" t="s">
        <v>45</v>
      </c>
      <c r="J4" s="3"/>
      <c r="K4" s="10">
        <f ca="1">TODAY()-6</f>
        <v>46305</v>
      </c>
      <c r="L4" s="13" t="str">
        <f t="shared" ca="1" si="0"/>
        <v>Cerrado</v>
      </c>
      <c r="M4" t="s">
        <v>27</v>
      </c>
    </row>
    <row r="5" spans="1:13" x14ac:dyDescent="0.25">
      <c r="A5" s="3" t="s">
        <v>132</v>
      </c>
      <c r="B5" s="3" t="s">
        <v>105</v>
      </c>
      <c r="C5" s="3" t="s">
        <v>46</v>
      </c>
      <c r="D5" s="10">
        <v>46295</v>
      </c>
      <c r="E5" s="3" t="s">
        <v>43</v>
      </c>
      <c r="F5" s="10">
        <v>46308</v>
      </c>
      <c r="G5" s="3" t="s">
        <v>23</v>
      </c>
      <c r="H5" s="10">
        <f ca="1">TODAY()+4</f>
        <v>46315</v>
      </c>
      <c r="I5" s="3" t="s">
        <v>24</v>
      </c>
      <c r="J5" s="3" t="s">
        <v>40</v>
      </c>
      <c r="K5" s="10">
        <f ca="1">TODAY()+3</f>
        <v>46314</v>
      </c>
      <c r="L5" s="13" t="str">
        <f t="shared" ca="1" si="0"/>
        <v>En Plazo</v>
      </c>
      <c r="M5" t="s">
        <v>34</v>
      </c>
    </row>
    <row r="6" spans="1:13" x14ac:dyDescent="0.25">
      <c r="A6" s="3" t="s">
        <v>133</v>
      </c>
      <c r="B6" s="3" t="s">
        <v>108</v>
      </c>
      <c r="C6" s="3" t="s">
        <v>56</v>
      </c>
      <c r="D6" s="10">
        <v>46297</v>
      </c>
      <c r="E6" s="3" t="s">
        <v>50</v>
      </c>
      <c r="F6" s="10">
        <v>46309</v>
      </c>
      <c r="G6" s="3" t="s">
        <v>23</v>
      </c>
      <c r="H6" s="10">
        <v>46304</v>
      </c>
      <c r="I6" s="3" t="s">
        <v>31</v>
      </c>
      <c r="J6" s="3" t="s">
        <v>57</v>
      </c>
      <c r="K6" s="10">
        <f ca="1">TODAY()+5</f>
        <v>46316</v>
      </c>
      <c r="L6" s="13" t="str">
        <f t="shared" ca="1" si="0"/>
        <v>En Plazo</v>
      </c>
      <c r="M6" t="s">
        <v>48</v>
      </c>
    </row>
    <row r="7" spans="1:13" x14ac:dyDescent="0.25">
      <c r="A7" s="3" t="s">
        <v>134</v>
      </c>
      <c r="B7" s="3" t="s">
        <v>108</v>
      </c>
      <c r="C7" s="3" t="s">
        <v>32</v>
      </c>
      <c r="D7" s="10">
        <v>46303</v>
      </c>
      <c r="E7" s="3" t="s">
        <v>29</v>
      </c>
      <c r="F7" s="10">
        <v>46309</v>
      </c>
      <c r="G7" s="3" t="s">
        <v>37</v>
      </c>
      <c r="H7" s="10"/>
      <c r="I7" s="3" t="s">
        <v>38</v>
      </c>
      <c r="J7" s="3" t="s">
        <v>26</v>
      </c>
      <c r="K7" s="10">
        <f ca="1">TODAY()</f>
        <v>46311</v>
      </c>
      <c r="L7" s="13" t="str">
        <f t="shared" ca="1" si="0"/>
        <v>HOY</v>
      </c>
      <c r="M7" t="s">
        <v>27</v>
      </c>
    </row>
    <row r="8" spans="1:13" x14ac:dyDescent="0.25">
      <c r="A8" s="3" t="s">
        <v>135</v>
      </c>
      <c r="B8" s="3" t="s">
        <v>111</v>
      </c>
      <c r="C8" s="3" t="s">
        <v>52</v>
      </c>
      <c r="D8" s="10">
        <v>46304</v>
      </c>
      <c r="E8" s="3" t="s">
        <v>29</v>
      </c>
      <c r="F8" s="10">
        <v>46308</v>
      </c>
      <c r="G8" s="3" t="s">
        <v>44</v>
      </c>
      <c r="H8" s="10"/>
      <c r="I8" s="3" t="s">
        <v>38</v>
      </c>
      <c r="J8" s="3" t="s">
        <v>26</v>
      </c>
      <c r="K8" s="10"/>
      <c r="L8" s="13" t="str">
        <f t="shared" ca="1" si="0"/>
        <v>Sin Fecha Programada</v>
      </c>
      <c r="M8" t="s">
        <v>27</v>
      </c>
    </row>
    <row r="9" spans="1:13" x14ac:dyDescent="0.25">
      <c r="A9" s="3" t="s">
        <v>136</v>
      </c>
      <c r="B9" s="3" t="s">
        <v>111</v>
      </c>
      <c r="C9" s="3" t="s">
        <v>25</v>
      </c>
      <c r="D9" s="10">
        <v>46300</v>
      </c>
      <c r="E9" s="3" t="s">
        <v>36</v>
      </c>
      <c r="F9" s="10">
        <v>46309</v>
      </c>
      <c r="G9" s="3" t="s">
        <v>23</v>
      </c>
      <c r="H9" s="10"/>
      <c r="I9" s="3" t="s">
        <v>24</v>
      </c>
      <c r="J9" s="3" t="s">
        <v>47</v>
      </c>
      <c r="K9" s="10">
        <f ca="1">TODAY()+1</f>
        <v>46312</v>
      </c>
      <c r="L9" s="13" t="str">
        <f t="shared" ca="1" si="0"/>
        <v>En Plazo</v>
      </c>
      <c r="M9" t="s">
        <v>27</v>
      </c>
    </row>
    <row r="10" spans="1:13" x14ac:dyDescent="0.25">
      <c r="A10" s="3" t="s">
        <v>137</v>
      </c>
      <c r="B10" s="3" t="s">
        <v>114</v>
      </c>
      <c r="C10" s="3" t="s">
        <v>39</v>
      </c>
      <c r="D10" s="10">
        <v>46280</v>
      </c>
      <c r="E10" s="3" t="s">
        <v>59</v>
      </c>
      <c r="F10" s="10">
        <v>46305</v>
      </c>
      <c r="G10" s="3" t="s">
        <v>23</v>
      </c>
      <c r="H10" s="10">
        <v>46290</v>
      </c>
      <c r="I10" s="3" t="s">
        <v>24</v>
      </c>
      <c r="J10" s="3"/>
      <c r="K10" s="10"/>
      <c r="L10" s="13" t="str">
        <f t="shared" ca="1" si="0"/>
        <v>Cerrado</v>
      </c>
      <c r="M10" t="s">
        <v>48</v>
      </c>
    </row>
    <row r="11" spans="1:13" x14ac:dyDescent="0.25">
      <c r="A11" s="3" t="s">
        <v>138</v>
      </c>
      <c r="B11" s="3" t="s">
        <v>114</v>
      </c>
      <c r="C11" s="3" t="s">
        <v>46</v>
      </c>
      <c r="D11" s="10">
        <v>46281</v>
      </c>
      <c r="E11" s="3" t="s">
        <v>62</v>
      </c>
      <c r="F11" s="10">
        <v>46293</v>
      </c>
      <c r="G11" s="3" t="s">
        <v>30</v>
      </c>
      <c r="H11" s="10"/>
      <c r="I11" s="3" t="s">
        <v>45</v>
      </c>
      <c r="J11" s="3"/>
      <c r="K11" s="10"/>
      <c r="L11" s="13" t="str">
        <f t="shared" ca="1" si="0"/>
        <v>Cerrado</v>
      </c>
      <c r="M11" t="s">
        <v>27</v>
      </c>
    </row>
    <row r="12" spans="1:13" x14ac:dyDescent="0.25">
      <c r="A12" s="3" t="s">
        <v>139</v>
      </c>
      <c r="B12" s="3" t="s">
        <v>102</v>
      </c>
      <c r="C12" s="3" t="s">
        <v>46</v>
      </c>
      <c r="D12" s="10">
        <v>46305</v>
      </c>
      <c r="E12" s="3" t="s">
        <v>29</v>
      </c>
      <c r="F12" s="10">
        <v>46307</v>
      </c>
      <c r="G12" s="3" t="s">
        <v>55</v>
      </c>
      <c r="H12" s="10"/>
      <c r="I12" s="3" t="s">
        <v>38</v>
      </c>
      <c r="J12" s="3" t="s">
        <v>26</v>
      </c>
      <c r="K12" s="10">
        <f ca="1">TODAY()-1</f>
        <v>46310</v>
      </c>
      <c r="L12" s="13" t="str">
        <f t="shared" ca="1" si="0"/>
        <v>VENCIDO</v>
      </c>
      <c r="M12" t="s">
        <v>27</v>
      </c>
    </row>
    <row r="13" spans="1:13" x14ac:dyDescent="0.25">
      <c r="A13" s="3" t="s">
        <v>140</v>
      </c>
      <c r="B13" s="3" t="s">
        <v>105</v>
      </c>
      <c r="C13" s="3" t="s">
        <v>56</v>
      </c>
      <c r="D13" s="10">
        <v>46298</v>
      </c>
      <c r="E13" s="3" t="s">
        <v>54</v>
      </c>
      <c r="F13" s="10">
        <v>46309</v>
      </c>
      <c r="G13" s="3" t="s">
        <v>23</v>
      </c>
      <c r="H13" s="10">
        <v>46303</v>
      </c>
      <c r="I13" s="3" t="s">
        <v>31</v>
      </c>
      <c r="J13" s="3" t="s">
        <v>57</v>
      </c>
      <c r="K13" s="10">
        <f ca="1">TODAY()+2</f>
        <v>46313</v>
      </c>
      <c r="L13" s="13" t="str">
        <f t="shared" ca="1" si="0"/>
        <v>En Plazo</v>
      </c>
      <c r="M13" t="s">
        <v>48</v>
      </c>
    </row>
    <row r="14" spans="1:13" x14ac:dyDescent="0.25">
      <c r="A14" s="3" t="s">
        <v>141</v>
      </c>
      <c r="B14" s="3" t="s">
        <v>108</v>
      </c>
      <c r="C14" s="3" t="s">
        <v>52</v>
      </c>
      <c r="D14" s="10">
        <v>46302</v>
      </c>
      <c r="E14" s="3" t="s">
        <v>64</v>
      </c>
      <c r="F14" s="10">
        <v>46308</v>
      </c>
      <c r="G14" s="3" t="s">
        <v>30</v>
      </c>
      <c r="H14" s="10"/>
      <c r="I14" s="3" t="s">
        <v>45</v>
      </c>
      <c r="J14" s="3"/>
      <c r="K14" s="10"/>
      <c r="L14" s="13" t="str">
        <f t="shared" ca="1" si="0"/>
        <v>Cerrado</v>
      </c>
      <c r="M14" t="s">
        <v>27</v>
      </c>
    </row>
    <row r="15" spans="1:13" x14ac:dyDescent="0.25">
      <c r="A15" s="3" t="s">
        <v>142</v>
      </c>
      <c r="B15" s="3" t="s">
        <v>111</v>
      </c>
      <c r="C15" s="3" t="s">
        <v>32</v>
      </c>
      <c r="D15" s="10">
        <v>46299</v>
      </c>
      <c r="E15" s="3" t="s">
        <v>43</v>
      </c>
      <c r="F15" s="10">
        <v>46309</v>
      </c>
      <c r="G15" s="3" t="s">
        <v>23</v>
      </c>
      <c r="H15" s="10">
        <f ca="1">TODAY()+6</f>
        <v>46317</v>
      </c>
      <c r="I15" s="3" t="s">
        <v>24</v>
      </c>
      <c r="J15" s="3" t="s">
        <v>40</v>
      </c>
      <c r="K15" s="10">
        <f ca="1">TODAY()+5</f>
        <v>46316</v>
      </c>
      <c r="L15" s="13" t="str">
        <f t="shared" ca="1" si="0"/>
        <v>En Plazo</v>
      </c>
      <c r="M15" t="s">
        <v>41</v>
      </c>
    </row>
    <row r="16" spans="1:13" x14ac:dyDescent="0.25">
      <c r="A16" s="3" t="s">
        <v>143</v>
      </c>
      <c r="B16" s="3" t="s">
        <v>102</v>
      </c>
      <c r="C16" s="3" t="s">
        <v>25</v>
      </c>
      <c r="D16" s="10">
        <v>46307</v>
      </c>
      <c r="E16" s="3" t="s">
        <v>22</v>
      </c>
      <c r="F16" s="10"/>
      <c r="G16" s="3"/>
      <c r="H16" s="10"/>
      <c r="I16" s="3" t="s">
        <v>38</v>
      </c>
      <c r="J16" s="3" t="s">
        <v>33</v>
      </c>
      <c r="K16" s="10">
        <f ca="1">TODAY()+1</f>
        <v>46312</v>
      </c>
      <c r="L16" s="13" t="str">
        <f t="shared" ca="1" si="0"/>
        <v>En Plazo</v>
      </c>
      <c r="M16" t="s">
        <v>27</v>
      </c>
    </row>
    <row r="17" spans="1:13" x14ac:dyDescent="0.25">
      <c r="A17" s="3" t="s">
        <v>144</v>
      </c>
      <c r="B17" s="3" t="s">
        <v>111</v>
      </c>
      <c r="C17" s="3" t="s">
        <v>32</v>
      </c>
      <c r="D17" s="10">
        <v>46297</v>
      </c>
      <c r="E17" s="3" t="s">
        <v>29</v>
      </c>
      <c r="F17" s="10">
        <v>46309</v>
      </c>
      <c r="G17" s="3" t="s">
        <v>51</v>
      </c>
      <c r="H17" s="10"/>
      <c r="I17" s="3" t="s">
        <v>45</v>
      </c>
      <c r="J17" s="3" t="s">
        <v>26</v>
      </c>
      <c r="K17" s="10">
        <f ca="1">TODAY()-2</f>
        <v>46309</v>
      </c>
      <c r="L17" s="13" t="str">
        <f t="shared" ca="1" si="0"/>
        <v>Cerrado</v>
      </c>
      <c r="M17" t="s">
        <v>27</v>
      </c>
    </row>
    <row r="18" spans="1:13" x14ac:dyDescent="0.25">
      <c r="A18" s="21" t="s">
        <v>145</v>
      </c>
      <c r="B18" s="21" t="s">
        <v>108</v>
      </c>
      <c r="C18" s="21" t="s">
        <v>39</v>
      </c>
      <c r="D18" s="28">
        <v>46301</v>
      </c>
      <c r="E18" s="21" t="s">
        <v>29</v>
      </c>
      <c r="F18" s="28">
        <v>46308</v>
      </c>
      <c r="G18" s="21" t="s">
        <v>60</v>
      </c>
      <c r="H18" s="28"/>
      <c r="I18" s="21" t="s">
        <v>45</v>
      </c>
      <c r="J18" s="21" t="s">
        <v>33</v>
      </c>
      <c r="K18" s="28">
        <f ca="1">TODAY()-4</f>
        <v>46307</v>
      </c>
      <c r="L18" s="8" t="str">
        <f t="shared" ca="1" si="0"/>
        <v>Cerrado</v>
      </c>
      <c r="M18" t="s">
        <v>27</v>
      </c>
    </row>
    <row r="19" spans="1:13" ht="30" x14ac:dyDescent="0.25">
      <c r="A19" s="21" t="s">
        <v>146</v>
      </c>
      <c r="B19" s="21" t="s">
        <v>105</v>
      </c>
      <c r="C19" s="21" t="s">
        <v>25</v>
      </c>
      <c r="D19" s="28"/>
      <c r="E19" s="21" t="s">
        <v>43</v>
      </c>
      <c r="F19" s="28"/>
      <c r="G19" s="21" t="s">
        <v>23</v>
      </c>
      <c r="H19" s="28">
        <f ca="1">TODAY()-1</f>
        <v>46310</v>
      </c>
      <c r="I19" s="21" t="s">
        <v>24</v>
      </c>
      <c r="J19" s="21" t="s">
        <v>147</v>
      </c>
      <c r="K19" s="28">
        <f ca="1">TODAY()+1</f>
        <v>46312</v>
      </c>
      <c r="L19" s="8" t="str">
        <f t="shared" ca="1" si="0"/>
        <v>En Plazo</v>
      </c>
      <c r="M19" s="29" t="s">
        <v>34</v>
      </c>
    </row>
    <row r="20" spans="1:13" x14ac:dyDescent="0.25">
      <c r="D20" s="22"/>
      <c r="F20" s="22"/>
      <c r="H20" s="22"/>
      <c r="K20" s="22"/>
      <c r="L20" t="str">
        <f t="shared" ca="1" si="0"/>
        <v/>
      </c>
    </row>
    <row r="21" spans="1:13" x14ac:dyDescent="0.25">
      <c r="D21" s="22"/>
      <c r="F21" s="22"/>
      <c r="H21" s="22"/>
      <c r="K21" s="22"/>
      <c r="L21" t="str">
        <f t="shared" ca="1" si="0"/>
        <v/>
      </c>
    </row>
    <row r="22" spans="1:13" x14ac:dyDescent="0.25">
      <c r="D22" s="22"/>
      <c r="F22" s="22"/>
      <c r="H22" s="22"/>
      <c r="K22" s="22"/>
      <c r="L22" t="str">
        <f t="shared" ca="1" si="0"/>
        <v/>
      </c>
    </row>
    <row r="23" spans="1:13" x14ac:dyDescent="0.25">
      <c r="D23" s="22"/>
      <c r="F23" s="22"/>
      <c r="H23" s="22"/>
      <c r="K23" s="22"/>
      <c r="L23" t="str">
        <f t="shared" ca="1" si="0"/>
        <v/>
      </c>
    </row>
    <row r="24" spans="1:13" x14ac:dyDescent="0.25">
      <c r="D24" s="22"/>
      <c r="F24" s="22"/>
      <c r="H24" s="22"/>
      <c r="K24" s="22"/>
      <c r="L24" t="str">
        <f t="shared" ca="1" si="0"/>
        <v/>
      </c>
    </row>
    <row r="25" spans="1:13" x14ac:dyDescent="0.25">
      <c r="D25" s="22"/>
      <c r="F25" s="22"/>
      <c r="H25" s="22"/>
      <c r="K25" s="22"/>
      <c r="L25" t="str">
        <f t="shared" ca="1" si="0"/>
        <v/>
      </c>
    </row>
    <row r="26" spans="1:13" x14ac:dyDescent="0.25">
      <c r="D26" s="22"/>
      <c r="F26" s="22"/>
      <c r="H26" s="22"/>
      <c r="K26" s="22"/>
      <c r="L26" t="str">
        <f t="shared" ca="1" si="0"/>
        <v/>
      </c>
    </row>
    <row r="27" spans="1:13" x14ac:dyDescent="0.25">
      <c r="D27" s="22"/>
      <c r="F27" s="22"/>
      <c r="H27" s="22"/>
      <c r="K27" s="22"/>
      <c r="L27" t="str">
        <f t="shared" ca="1" si="0"/>
        <v/>
      </c>
    </row>
    <row r="28" spans="1:13" x14ac:dyDescent="0.25">
      <c r="D28" s="22"/>
      <c r="F28" s="22"/>
      <c r="H28" s="22"/>
      <c r="K28" s="22"/>
      <c r="L28" t="str">
        <f t="shared" ca="1" si="0"/>
        <v/>
      </c>
    </row>
    <row r="29" spans="1:13" x14ac:dyDescent="0.25">
      <c r="D29" s="22"/>
      <c r="F29" s="22"/>
      <c r="H29" s="22"/>
      <c r="K29" s="22"/>
      <c r="L29" t="str">
        <f t="shared" ca="1" si="0"/>
        <v/>
      </c>
    </row>
    <row r="30" spans="1:13" x14ac:dyDescent="0.25">
      <c r="D30" s="22"/>
      <c r="F30" s="22"/>
      <c r="H30" s="22"/>
      <c r="K30" s="22"/>
      <c r="L30" t="str">
        <f t="shared" ca="1" si="0"/>
        <v/>
      </c>
    </row>
    <row r="31" spans="1:13" x14ac:dyDescent="0.25">
      <c r="D31" s="22"/>
      <c r="F31" s="22"/>
      <c r="H31" s="22"/>
      <c r="K31" s="22"/>
      <c r="L31" t="str">
        <f t="shared" ca="1" si="0"/>
        <v/>
      </c>
    </row>
    <row r="32" spans="1:13" x14ac:dyDescent="0.25">
      <c r="D32" s="22"/>
      <c r="F32" s="22"/>
      <c r="H32" s="22"/>
      <c r="K32" s="22"/>
      <c r="L32" t="str">
        <f t="shared" ca="1" si="0"/>
        <v/>
      </c>
    </row>
    <row r="33" spans="4:12" x14ac:dyDescent="0.25">
      <c r="D33" s="22"/>
      <c r="F33" s="22"/>
      <c r="H33" s="22"/>
      <c r="K33" s="22"/>
      <c r="L33" t="str">
        <f t="shared" ca="1" si="0"/>
        <v/>
      </c>
    </row>
    <row r="34" spans="4:12" x14ac:dyDescent="0.25">
      <c r="D34" s="22"/>
      <c r="F34" s="22"/>
      <c r="H34" s="22"/>
      <c r="K34" s="22"/>
      <c r="L34" t="str">
        <f t="shared" ca="1" si="0"/>
        <v/>
      </c>
    </row>
    <row r="35" spans="4:12" x14ac:dyDescent="0.25">
      <c r="D35" s="22"/>
      <c r="F35" s="22"/>
      <c r="H35" s="22"/>
      <c r="K35" s="22"/>
      <c r="L35" t="str">
        <f t="shared" ca="1" si="0"/>
        <v/>
      </c>
    </row>
    <row r="36" spans="4:12" x14ac:dyDescent="0.25">
      <c r="D36" s="22"/>
      <c r="F36" s="22"/>
      <c r="H36" s="22"/>
      <c r="K36" s="22"/>
      <c r="L36" t="str">
        <f t="shared" ca="1" si="0"/>
        <v/>
      </c>
    </row>
    <row r="37" spans="4:12" x14ac:dyDescent="0.25">
      <c r="D37" s="22"/>
      <c r="F37" s="22"/>
      <c r="H37" s="22"/>
      <c r="K37" s="22"/>
      <c r="L37" t="str">
        <f t="shared" ca="1" si="0"/>
        <v/>
      </c>
    </row>
    <row r="38" spans="4:12" x14ac:dyDescent="0.25">
      <c r="D38" s="22"/>
      <c r="F38" s="22"/>
      <c r="H38" s="22"/>
      <c r="K38" s="22"/>
      <c r="L38" t="str">
        <f t="shared" ca="1" si="0"/>
        <v/>
      </c>
    </row>
    <row r="39" spans="4:12" x14ac:dyDescent="0.25">
      <c r="D39" s="22"/>
      <c r="F39" s="22"/>
      <c r="H39" s="22"/>
      <c r="K39" s="22"/>
      <c r="L39" t="str">
        <f t="shared" ca="1" si="0"/>
        <v/>
      </c>
    </row>
    <row r="40" spans="4:12" x14ac:dyDescent="0.25">
      <c r="D40" s="22"/>
      <c r="F40" s="22"/>
      <c r="H40" s="22"/>
      <c r="K40" s="22"/>
      <c r="L40" t="str">
        <f t="shared" ca="1" si="0"/>
        <v/>
      </c>
    </row>
    <row r="41" spans="4:12" x14ac:dyDescent="0.25">
      <c r="D41" s="22"/>
      <c r="F41" s="22"/>
      <c r="H41" s="22"/>
      <c r="K41" s="22"/>
      <c r="L41" t="str">
        <f t="shared" ca="1" si="0"/>
        <v/>
      </c>
    </row>
    <row r="42" spans="4:12" x14ac:dyDescent="0.25">
      <c r="D42" s="22"/>
      <c r="F42" s="22"/>
      <c r="H42" s="22"/>
      <c r="K42" s="22"/>
      <c r="L42" t="str">
        <f t="shared" ca="1" si="0"/>
        <v/>
      </c>
    </row>
    <row r="43" spans="4:12" x14ac:dyDescent="0.25">
      <c r="D43" s="22"/>
      <c r="F43" s="22"/>
      <c r="H43" s="22"/>
      <c r="K43" s="22"/>
      <c r="L43" t="str">
        <f t="shared" ca="1" si="0"/>
        <v/>
      </c>
    </row>
    <row r="44" spans="4:12" x14ac:dyDescent="0.25">
      <c r="D44" s="22"/>
      <c r="F44" s="22"/>
      <c r="H44" s="22"/>
      <c r="K44" s="22"/>
      <c r="L44" t="str">
        <f t="shared" ca="1" si="0"/>
        <v/>
      </c>
    </row>
    <row r="45" spans="4:12" x14ac:dyDescent="0.25">
      <c r="D45" s="22"/>
      <c r="F45" s="22"/>
      <c r="H45" s="22"/>
      <c r="K45" s="22"/>
      <c r="L45" t="str">
        <f t="shared" ca="1" si="0"/>
        <v/>
      </c>
    </row>
    <row r="46" spans="4:12" x14ac:dyDescent="0.25">
      <c r="D46" s="22"/>
      <c r="F46" s="22"/>
      <c r="H46" s="22"/>
      <c r="K46" s="22"/>
      <c r="L46" t="str">
        <f t="shared" ca="1" si="0"/>
        <v/>
      </c>
    </row>
    <row r="47" spans="4:12" x14ac:dyDescent="0.25">
      <c r="D47" s="22"/>
      <c r="F47" s="22"/>
      <c r="H47" s="22"/>
      <c r="K47" s="22"/>
      <c r="L47" t="str">
        <f t="shared" ca="1" si="0"/>
        <v/>
      </c>
    </row>
    <row r="48" spans="4:12" x14ac:dyDescent="0.25">
      <c r="D48" s="22"/>
      <c r="F48" s="22"/>
      <c r="H48" s="22"/>
      <c r="K48" s="22"/>
      <c r="L48" t="str">
        <f t="shared" ca="1" si="0"/>
        <v/>
      </c>
    </row>
    <row r="49" spans="4:12" x14ac:dyDescent="0.25">
      <c r="D49" s="22"/>
      <c r="F49" s="22"/>
      <c r="H49" s="22"/>
      <c r="K49" s="22"/>
      <c r="L49" t="str">
        <f t="shared" ca="1" si="0"/>
        <v/>
      </c>
    </row>
    <row r="50" spans="4:12" x14ac:dyDescent="0.25">
      <c r="D50" s="22"/>
      <c r="F50" s="22"/>
      <c r="H50" s="22"/>
      <c r="K50" s="22"/>
      <c r="L50" t="str">
        <f t="shared" ca="1" si="0"/>
        <v/>
      </c>
    </row>
    <row r="51" spans="4:12" x14ac:dyDescent="0.25">
      <c r="D51" s="22"/>
      <c r="F51" s="22"/>
      <c r="H51" s="22"/>
      <c r="K51" s="22"/>
      <c r="L51" t="str">
        <f t="shared" ca="1" si="0"/>
        <v/>
      </c>
    </row>
    <row r="52" spans="4:12" x14ac:dyDescent="0.25">
      <c r="D52" s="22"/>
      <c r="F52" s="22"/>
      <c r="H52" s="22"/>
      <c r="K52" s="22"/>
      <c r="L52" t="str">
        <f t="shared" ca="1" si="0"/>
        <v/>
      </c>
    </row>
    <row r="53" spans="4:12" x14ac:dyDescent="0.25">
      <c r="D53" s="22"/>
      <c r="F53" s="22"/>
      <c r="H53" s="22"/>
      <c r="K53" s="22"/>
      <c r="L53" t="str">
        <f t="shared" ca="1" si="0"/>
        <v/>
      </c>
    </row>
    <row r="54" spans="4:12" x14ac:dyDescent="0.25">
      <c r="D54" s="22"/>
      <c r="F54" s="22"/>
      <c r="H54" s="22"/>
      <c r="K54" s="22"/>
      <c r="L54" t="str">
        <f t="shared" ca="1" si="0"/>
        <v/>
      </c>
    </row>
    <row r="55" spans="4:12" x14ac:dyDescent="0.25">
      <c r="D55" s="22"/>
      <c r="F55" s="22"/>
      <c r="H55" s="22"/>
      <c r="K55" s="22"/>
      <c r="L55" t="str">
        <f t="shared" ca="1" si="0"/>
        <v/>
      </c>
    </row>
    <row r="56" spans="4:12" x14ac:dyDescent="0.25">
      <c r="D56" s="22"/>
      <c r="F56" s="22"/>
      <c r="H56" s="22"/>
      <c r="K56" s="22"/>
      <c r="L56" t="str">
        <f t="shared" ca="1" si="0"/>
        <v/>
      </c>
    </row>
    <row r="57" spans="4:12" x14ac:dyDescent="0.25">
      <c r="D57" s="22"/>
      <c r="F57" s="22"/>
      <c r="H57" s="22"/>
      <c r="K57" s="22"/>
      <c r="L57" t="str">
        <f t="shared" ca="1" si="0"/>
        <v/>
      </c>
    </row>
    <row r="58" spans="4:12" x14ac:dyDescent="0.25">
      <c r="D58" s="22"/>
      <c r="F58" s="22"/>
      <c r="H58" s="22"/>
      <c r="K58" s="22"/>
      <c r="L58" t="str">
        <f t="shared" ca="1" si="0"/>
        <v/>
      </c>
    </row>
    <row r="59" spans="4:12" x14ac:dyDescent="0.25">
      <c r="D59" s="22"/>
      <c r="F59" s="22"/>
      <c r="H59" s="22"/>
      <c r="K59" s="22"/>
      <c r="L59" t="str">
        <f t="shared" ca="1" si="0"/>
        <v/>
      </c>
    </row>
    <row r="60" spans="4:12" x14ac:dyDescent="0.25">
      <c r="D60" s="22"/>
      <c r="F60" s="22"/>
      <c r="H60" s="22"/>
      <c r="K60" s="22"/>
      <c r="L60" t="str">
        <f t="shared" ca="1" si="0"/>
        <v/>
      </c>
    </row>
    <row r="61" spans="4:12" x14ac:dyDescent="0.25">
      <c r="D61" s="22"/>
      <c r="F61" s="22"/>
      <c r="H61" s="22"/>
      <c r="K61" s="22"/>
      <c r="L61" t="str">
        <f t="shared" ca="1" si="0"/>
        <v/>
      </c>
    </row>
    <row r="62" spans="4:12" x14ac:dyDescent="0.25">
      <c r="D62" s="22"/>
      <c r="F62" s="22"/>
      <c r="H62" s="22"/>
      <c r="K62" s="22"/>
      <c r="L62" t="str">
        <f t="shared" ca="1" si="0"/>
        <v/>
      </c>
    </row>
    <row r="63" spans="4:12" x14ac:dyDescent="0.25">
      <c r="D63" s="22"/>
      <c r="F63" s="22"/>
      <c r="H63" s="22"/>
      <c r="K63" s="22"/>
      <c r="L63" t="str">
        <f t="shared" ca="1" si="0"/>
        <v/>
      </c>
    </row>
    <row r="64" spans="4:12" x14ac:dyDescent="0.25">
      <c r="D64" s="22"/>
      <c r="F64" s="22"/>
      <c r="H64" s="22"/>
      <c r="K64" s="22"/>
      <c r="L64" t="str">
        <f t="shared" ca="1" si="0"/>
        <v/>
      </c>
    </row>
    <row r="65" spans="4:12" x14ac:dyDescent="0.25">
      <c r="D65" s="22"/>
      <c r="F65" s="22"/>
      <c r="H65" s="22"/>
      <c r="K65" s="22"/>
      <c r="L65" t="str">
        <f t="shared" ca="1" si="0"/>
        <v/>
      </c>
    </row>
    <row r="66" spans="4:12" x14ac:dyDescent="0.25">
      <c r="D66" s="22"/>
      <c r="F66" s="22"/>
      <c r="H66" s="22"/>
      <c r="K66" s="22"/>
      <c r="L66" t="str">
        <f t="shared" ref="L66:L129" ca="1" si="1">IF(A66="","",IF(OR(E66="Contratado",E66="Descartado",E66="Retirado",G66="No Contesta (Intento 3 - Final)",G66="Datos Erróneos"),"Cerrado",IF(K66="","Sin Fecha Programada",IF(K66&lt;TODAY(),"VENCIDO",IF(K66=TODAY(),"HOY","En Plazo")))))</f>
        <v/>
      </c>
    </row>
    <row r="67" spans="4:12" x14ac:dyDescent="0.25">
      <c r="D67" s="22"/>
      <c r="F67" s="22"/>
      <c r="H67" s="22"/>
      <c r="K67" s="22"/>
      <c r="L67" t="str">
        <f t="shared" ca="1" si="1"/>
        <v/>
      </c>
    </row>
    <row r="68" spans="4:12" x14ac:dyDescent="0.25">
      <c r="D68" s="22"/>
      <c r="F68" s="22"/>
      <c r="H68" s="22"/>
      <c r="K68" s="22"/>
      <c r="L68" t="str">
        <f t="shared" ca="1" si="1"/>
        <v/>
      </c>
    </row>
    <row r="69" spans="4:12" x14ac:dyDescent="0.25">
      <c r="D69" s="22"/>
      <c r="F69" s="22"/>
      <c r="H69" s="22"/>
      <c r="K69" s="22"/>
      <c r="L69" t="str">
        <f t="shared" ca="1" si="1"/>
        <v/>
      </c>
    </row>
    <row r="70" spans="4:12" x14ac:dyDescent="0.25">
      <c r="D70" s="22"/>
      <c r="F70" s="22"/>
      <c r="H70" s="22"/>
      <c r="K70" s="22"/>
      <c r="L70" t="str">
        <f t="shared" ca="1" si="1"/>
        <v/>
      </c>
    </row>
    <row r="71" spans="4:12" x14ac:dyDescent="0.25">
      <c r="D71" s="22"/>
      <c r="F71" s="22"/>
      <c r="H71" s="22"/>
      <c r="K71" s="22"/>
      <c r="L71" t="str">
        <f t="shared" ca="1" si="1"/>
        <v/>
      </c>
    </row>
    <row r="72" spans="4:12" x14ac:dyDescent="0.25">
      <c r="D72" s="22"/>
      <c r="F72" s="22"/>
      <c r="H72" s="22"/>
      <c r="K72" s="22"/>
      <c r="L72" t="str">
        <f t="shared" ca="1" si="1"/>
        <v/>
      </c>
    </row>
    <row r="73" spans="4:12" x14ac:dyDescent="0.25">
      <c r="D73" s="22"/>
      <c r="F73" s="22"/>
      <c r="H73" s="22"/>
      <c r="K73" s="22"/>
      <c r="L73" t="str">
        <f t="shared" ca="1" si="1"/>
        <v/>
      </c>
    </row>
    <row r="74" spans="4:12" x14ac:dyDescent="0.25">
      <c r="D74" s="22"/>
      <c r="F74" s="22"/>
      <c r="H74" s="22"/>
      <c r="K74" s="22"/>
      <c r="L74" t="str">
        <f t="shared" ca="1" si="1"/>
        <v/>
      </c>
    </row>
    <row r="75" spans="4:12" x14ac:dyDescent="0.25">
      <c r="D75" s="22"/>
      <c r="F75" s="22"/>
      <c r="H75" s="22"/>
      <c r="K75" s="22"/>
      <c r="L75" t="str">
        <f t="shared" ca="1" si="1"/>
        <v/>
      </c>
    </row>
    <row r="76" spans="4:12" x14ac:dyDescent="0.25">
      <c r="D76" s="22"/>
      <c r="F76" s="22"/>
      <c r="H76" s="22"/>
      <c r="K76" s="22"/>
      <c r="L76" t="str">
        <f t="shared" ca="1" si="1"/>
        <v/>
      </c>
    </row>
    <row r="77" spans="4:12" x14ac:dyDescent="0.25">
      <c r="D77" s="22"/>
      <c r="F77" s="22"/>
      <c r="H77" s="22"/>
      <c r="K77" s="22"/>
      <c r="L77" t="str">
        <f t="shared" ca="1" si="1"/>
        <v/>
      </c>
    </row>
    <row r="78" spans="4:12" x14ac:dyDescent="0.25">
      <c r="D78" s="22"/>
      <c r="F78" s="22"/>
      <c r="H78" s="22"/>
      <c r="K78" s="22"/>
      <c r="L78" t="str">
        <f t="shared" ca="1" si="1"/>
        <v/>
      </c>
    </row>
    <row r="79" spans="4:12" x14ac:dyDescent="0.25">
      <c r="D79" s="22"/>
      <c r="F79" s="22"/>
      <c r="H79" s="22"/>
      <c r="K79" s="22"/>
      <c r="L79" t="str">
        <f t="shared" ca="1" si="1"/>
        <v/>
      </c>
    </row>
    <row r="80" spans="4:12" x14ac:dyDescent="0.25">
      <c r="D80" s="22"/>
      <c r="F80" s="22"/>
      <c r="H80" s="22"/>
      <c r="K80" s="22"/>
      <c r="L80" t="str">
        <f t="shared" ca="1" si="1"/>
        <v/>
      </c>
    </row>
    <row r="81" spans="4:12" x14ac:dyDescent="0.25">
      <c r="D81" s="22"/>
      <c r="F81" s="22"/>
      <c r="H81" s="22"/>
      <c r="K81" s="22"/>
      <c r="L81" t="str">
        <f t="shared" ca="1" si="1"/>
        <v/>
      </c>
    </row>
    <row r="82" spans="4:12" x14ac:dyDescent="0.25">
      <c r="D82" s="22"/>
      <c r="F82" s="22"/>
      <c r="H82" s="22"/>
      <c r="K82" s="22"/>
      <c r="L82" t="str">
        <f t="shared" ca="1" si="1"/>
        <v/>
      </c>
    </row>
    <row r="83" spans="4:12" x14ac:dyDescent="0.25">
      <c r="D83" s="22"/>
      <c r="F83" s="22"/>
      <c r="H83" s="22"/>
      <c r="K83" s="22"/>
      <c r="L83" t="str">
        <f t="shared" ca="1" si="1"/>
        <v/>
      </c>
    </row>
    <row r="84" spans="4:12" x14ac:dyDescent="0.25">
      <c r="D84" s="22"/>
      <c r="F84" s="22"/>
      <c r="H84" s="22"/>
      <c r="K84" s="22"/>
      <c r="L84" t="str">
        <f t="shared" ca="1" si="1"/>
        <v/>
      </c>
    </row>
    <row r="85" spans="4:12" x14ac:dyDescent="0.25">
      <c r="D85" s="22"/>
      <c r="F85" s="22"/>
      <c r="H85" s="22"/>
      <c r="K85" s="22"/>
      <c r="L85" t="str">
        <f t="shared" ca="1" si="1"/>
        <v/>
      </c>
    </row>
    <row r="86" spans="4:12" x14ac:dyDescent="0.25">
      <c r="D86" s="22"/>
      <c r="F86" s="22"/>
      <c r="H86" s="22"/>
      <c r="K86" s="22"/>
      <c r="L86" t="str">
        <f t="shared" ca="1" si="1"/>
        <v/>
      </c>
    </row>
    <row r="87" spans="4:12" x14ac:dyDescent="0.25">
      <c r="D87" s="22"/>
      <c r="F87" s="22"/>
      <c r="H87" s="22"/>
      <c r="K87" s="22"/>
      <c r="L87" t="str">
        <f t="shared" ca="1" si="1"/>
        <v/>
      </c>
    </row>
    <row r="88" spans="4:12" x14ac:dyDescent="0.25">
      <c r="D88" s="22"/>
      <c r="F88" s="22"/>
      <c r="H88" s="22"/>
      <c r="K88" s="22"/>
      <c r="L88" t="str">
        <f t="shared" ca="1" si="1"/>
        <v/>
      </c>
    </row>
    <row r="89" spans="4:12" x14ac:dyDescent="0.25">
      <c r="D89" s="22"/>
      <c r="F89" s="22"/>
      <c r="H89" s="22"/>
      <c r="K89" s="22"/>
      <c r="L89" t="str">
        <f t="shared" ca="1" si="1"/>
        <v/>
      </c>
    </row>
    <row r="90" spans="4:12" x14ac:dyDescent="0.25">
      <c r="D90" s="22"/>
      <c r="F90" s="22"/>
      <c r="H90" s="22"/>
      <c r="K90" s="22"/>
      <c r="L90" t="str">
        <f t="shared" ca="1" si="1"/>
        <v/>
      </c>
    </row>
    <row r="91" spans="4:12" x14ac:dyDescent="0.25">
      <c r="D91" s="22"/>
      <c r="F91" s="22"/>
      <c r="H91" s="22"/>
      <c r="K91" s="22"/>
      <c r="L91" t="str">
        <f t="shared" ca="1" si="1"/>
        <v/>
      </c>
    </row>
    <row r="92" spans="4:12" x14ac:dyDescent="0.25">
      <c r="D92" s="22"/>
      <c r="F92" s="22"/>
      <c r="H92" s="22"/>
      <c r="K92" s="22"/>
      <c r="L92" t="str">
        <f t="shared" ca="1" si="1"/>
        <v/>
      </c>
    </row>
    <row r="93" spans="4:12" x14ac:dyDescent="0.25">
      <c r="D93" s="22"/>
      <c r="F93" s="22"/>
      <c r="H93" s="22"/>
      <c r="K93" s="22"/>
      <c r="L93" t="str">
        <f t="shared" ca="1" si="1"/>
        <v/>
      </c>
    </row>
    <row r="94" spans="4:12" x14ac:dyDescent="0.25">
      <c r="D94" s="22"/>
      <c r="F94" s="22"/>
      <c r="H94" s="22"/>
      <c r="K94" s="22"/>
      <c r="L94" t="str">
        <f t="shared" ca="1" si="1"/>
        <v/>
      </c>
    </row>
    <row r="95" spans="4:12" x14ac:dyDescent="0.25">
      <c r="D95" s="22"/>
      <c r="F95" s="22"/>
      <c r="H95" s="22"/>
      <c r="K95" s="22"/>
      <c r="L95" t="str">
        <f t="shared" ca="1" si="1"/>
        <v/>
      </c>
    </row>
    <row r="96" spans="4:12" x14ac:dyDescent="0.25">
      <c r="D96" s="22"/>
      <c r="F96" s="22"/>
      <c r="H96" s="22"/>
      <c r="K96" s="22"/>
      <c r="L96" t="str">
        <f t="shared" ca="1" si="1"/>
        <v/>
      </c>
    </row>
    <row r="97" spans="4:12" x14ac:dyDescent="0.25">
      <c r="D97" s="22"/>
      <c r="F97" s="22"/>
      <c r="H97" s="22"/>
      <c r="K97" s="22"/>
      <c r="L97" t="str">
        <f t="shared" ca="1" si="1"/>
        <v/>
      </c>
    </row>
    <row r="98" spans="4:12" x14ac:dyDescent="0.25">
      <c r="D98" s="22"/>
      <c r="F98" s="22"/>
      <c r="H98" s="22"/>
      <c r="K98" s="22"/>
      <c r="L98" t="str">
        <f t="shared" ca="1" si="1"/>
        <v/>
      </c>
    </row>
    <row r="99" spans="4:12" x14ac:dyDescent="0.25">
      <c r="D99" s="22"/>
      <c r="F99" s="22"/>
      <c r="H99" s="22"/>
      <c r="K99" s="22"/>
      <c r="L99" t="str">
        <f t="shared" ca="1" si="1"/>
        <v/>
      </c>
    </row>
    <row r="100" spans="4:12" x14ac:dyDescent="0.25">
      <c r="D100" s="22"/>
      <c r="F100" s="22"/>
      <c r="H100" s="22"/>
      <c r="K100" s="22"/>
      <c r="L100" t="str">
        <f t="shared" ca="1" si="1"/>
        <v/>
      </c>
    </row>
    <row r="101" spans="4:12" x14ac:dyDescent="0.25">
      <c r="D101" s="22"/>
      <c r="F101" s="22"/>
      <c r="H101" s="22"/>
      <c r="K101" s="22"/>
      <c r="L101" t="str">
        <f t="shared" ca="1" si="1"/>
        <v/>
      </c>
    </row>
    <row r="102" spans="4:12" x14ac:dyDescent="0.25">
      <c r="D102" s="22"/>
      <c r="F102" s="22"/>
      <c r="H102" s="22"/>
      <c r="K102" s="22"/>
      <c r="L102" t="str">
        <f t="shared" ca="1" si="1"/>
        <v/>
      </c>
    </row>
    <row r="103" spans="4:12" x14ac:dyDescent="0.25">
      <c r="D103" s="22"/>
      <c r="F103" s="22"/>
      <c r="H103" s="22"/>
      <c r="K103" s="22"/>
      <c r="L103" t="str">
        <f t="shared" ca="1" si="1"/>
        <v/>
      </c>
    </row>
    <row r="104" spans="4:12" x14ac:dyDescent="0.25">
      <c r="D104" s="22"/>
      <c r="F104" s="22"/>
      <c r="H104" s="22"/>
      <c r="K104" s="22"/>
      <c r="L104" t="str">
        <f t="shared" ca="1" si="1"/>
        <v/>
      </c>
    </row>
    <row r="105" spans="4:12" x14ac:dyDescent="0.25">
      <c r="D105" s="22"/>
      <c r="F105" s="22"/>
      <c r="H105" s="22"/>
      <c r="K105" s="22"/>
      <c r="L105" t="str">
        <f t="shared" ca="1" si="1"/>
        <v/>
      </c>
    </row>
    <row r="106" spans="4:12" x14ac:dyDescent="0.25">
      <c r="D106" s="22"/>
      <c r="F106" s="22"/>
      <c r="H106" s="22"/>
      <c r="K106" s="22"/>
      <c r="L106" t="str">
        <f t="shared" ca="1" si="1"/>
        <v/>
      </c>
    </row>
    <row r="107" spans="4:12" x14ac:dyDescent="0.25">
      <c r="D107" s="22"/>
      <c r="F107" s="22"/>
      <c r="H107" s="22"/>
      <c r="K107" s="22"/>
      <c r="L107" t="str">
        <f t="shared" ca="1" si="1"/>
        <v/>
      </c>
    </row>
    <row r="108" spans="4:12" x14ac:dyDescent="0.25">
      <c r="D108" s="22"/>
      <c r="F108" s="22"/>
      <c r="H108" s="22"/>
      <c r="K108" s="22"/>
      <c r="L108" t="str">
        <f t="shared" ca="1" si="1"/>
        <v/>
      </c>
    </row>
    <row r="109" spans="4:12" x14ac:dyDescent="0.25">
      <c r="D109" s="22"/>
      <c r="F109" s="22"/>
      <c r="H109" s="22"/>
      <c r="K109" s="22"/>
      <c r="L109" t="str">
        <f t="shared" ca="1" si="1"/>
        <v/>
      </c>
    </row>
    <row r="110" spans="4:12" x14ac:dyDescent="0.25">
      <c r="D110" s="22"/>
      <c r="F110" s="22"/>
      <c r="H110" s="22"/>
      <c r="K110" s="22"/>
      <c r="L110" t="str">
        <f t="shared" ca="1" si="1"/>
        <v/>
      </c>
    </row>
    <row r="111" spans="4:12" x14ac:dyDescent="0.25">
      <c r="D111" s="22"/>
      <c r="F111" s="22"/>
      <c r="H111" s="22"/>
      <c r="K111" s="22"/>
      <c r="L111" t="str">
        <f t="shared" ca="1" si="1"/>
        <v/>
      </c>
    </row>
    <row r="112" spans="4:12" x14ac:dyDescent="0.25">
      <c r="D112" s="22"/>
      <c r="F112" s="22"/>
      <c r="H112" s="22"/>
      <c r="K112" s="22"/>
      <c r="L112" t="str">
        <f t="shared" ca="1" si="1"/>
        <v/>
      </c>
    </row>
    <row r="113" spans="4:12" x14ac:dyDescent="0.25">
      <c r="D113" s="22"/>
      <c r="F113" s="22"/>
      <c r="H113" s="22"/>
      <c r="K113" s="22"/>
      <c r="L113" t="str">
        <f t="shared" ca="1" si="1"/>
        <v/>
      </c>
    </row>
    <row r="114" spans="4:12" x14ac:dyDescent="0.25">
      <c r="D114" s="22"/>
      <c r="F114" s="22"/>
      <c r="H114" s="22"/>
      <c r="K114" s="22"/>
      <c r="L114" t="str">
        <f t="shared" ca="1" si="1"/>
        <v/>
      </c>
    </row>
    <row r="115" spans="4:12" x14ac:dyDescent="0.25">
      <c r="D115" s="22"/>
      <c r="F115" s="22"/>
      <c r="H115" s="22"/>
      <c r="K115" s="22"/>
      <c r="L115" t="str">
        <f t="shared" ca="1" si="1"/>
        <v/>
      </c>
    </row>
    <row r="116" spans="4:12" x14ac:dyDescent="0.25">
      <c r="D116" s="22"/>
      <c r="F116" s="22"/>
      <c r="H116" s="22"/>
      <c r="K116" s="22"/>
      <c r="L116" t="str">
        <f t="shared" ca="1" si="1"/>
        <v/>
      </c>
    </row>
    <row r="117" spans="4:12" x14ac:dyDescent="0.25">
      <c r="D117" s="22"/>
      <c r="F117" s="22"/>
      <c r="H117" s="22"/>
      <c r="K117" s="22"/>
      <c r="L117" t="str">
        <f t="shared" ca="1" si="1"/>
        <v/>
      </c>
    </row>
    <row r="118" spans="4:12" x14ac:dyDescent="0.25">
      <c r="D118" s="22"/>
      <c r="F118" s="22"/>
      <c r="H118" s="22"/>
      <c r="K118" s="22"/>
      <c r="L118" t="str">
        <f t="shared" ca="1" si="1"/>
        <v/>
      </c>
    </row>
    <row r="119" spans="4:12" x14ac:dyDescent="0.25">
      <c r="D119" s="22"/>
      <c r="F119" s="22"/>
      <c r="H119" s="22"/>
      <c r="K119" s="22"/>
      <c r="L119" t="str">
        <f t="shared" ca="1" si="1"/>
        <v/>
      </c>
    </row>
    <row r="120" spans="4:12" x14ac:dyDescent="0.25">
      <c r="D120" s="22"/>
      <c r="F120" s="22"/>
      <c r="H120" s="22"/>
      <c r="K120" s="22"/>
      <c r="L120" t="str">
        <f t="shared" ca="1" si="1"/>
        <v/>
      </c>
    </row>
    <row r="121" spans="4:12" x14ac:dyDescent="0.25">
      <c r="D121" s="22"/>
      <c r="F121" s="22"/>
      <c r="H121" s="22"/>
      <c r="K121" s="22"/>
      <c r="L121" t="str">
        <f t="shared" ca="1" si="1"/>
        <v/>
      </c>
    </row>
    <row r="122" spans="4:12" x14ac:dyDescent="0.25">
      <c r="D122" s="22"/>
      <c r="F122" s="22"/>
      <c r="H122" s="22"/>
      <c r="K122" s="22"/>
      <c r="L122" t="str">
        <f t="shared" ca="1" si="1"/>
        <v/>
      </c>
    </row>
    <row r="123" spans="4:12" x14ac:dyDescent="0.25">
      <c r="D123" s="22"/>
      <c r="F123" s="22"/>
      <c r="H123" s="22"/>
      <c r="K123" s="22"/>
      <c r="L123" t="str">
        <f t="shared" ca="1" si="1"/>
        <v/>
      </c>
    </row>
    <row r="124" spans="4:12" x14ac:dyDescent="0.25">
      <c r="D124" s="22"/>
      <c r="F124" s="22"/>
      <c r="H124" s="22"/>
      <c r="K124" s="22"/>
      <c r="L124" t="str">
        <f t="shared" ca="1" si="1"/>
        <v/>
      </c>
    </row>
    <row r="125" spans="4:12" x14ac:dyDescent="0.25">
      <c r="D125" s="22"/>
      <c r="F125" s="22"/>
      <c r="H125" s="22"/>
      <c r="K125" s="22"/>
      <c r="L125" t="str">
        <f t="shared" ca="1" si="1"/>
        <v/>
      </c>
    </row>
    <row r="126" spans="4:12" x14ac:dyDescent="0.25">
      <c r="D126" s="22"/>
      <c r="F126" s="22"/>
      <c r="H126" s="22"/>
      <c r="K126" s="22"/>
      <c r="L126" t="str">
        <f t="shared" ca="1" si="1"/>
        <v/>
      </c>
    </row>
    <row r="127" spans="4:12" x14ac:dyDescent="0.25">
      <c r="D127" s="22"/>
      <c r="F127" s="22"/>
      <c r="H127" s="22"/>
      <c r="K127" s="22"/>
      <c r="L127" t="str">
        <f t="shared" ca="1" si="1"/>
        <v/>
      </c>
    </row>
    <row r="128" spans="4:12" x14ac:dyDescent="0.25">
      <c r="D128" s="22"/>
      <c r="F128" s="22"/>
      <c r="H128" s="22"/>
      <c r="K128" s="22"/>
      <c r="L128" t="str">
        <f t="shared" ca="1" si="1"/>
        <v/>
      </c>
    </row>
    <row r="129" spans="4:12" x14ac:dyDescent="0.25">
      <c r="D129" s="22"/>
      <c r="F129" s="22"/>
      <c r="H129" s="22"/>
      <c r="K129" s="22"/>
      <c r="L129" t="str">
        <f t="shared" ca="1" si="1"/>
        <v/>
      </c>
    </row>
    <row r="130" spans="4:12" x14ac:dyDescent="0.25">
      <c r="D130" s="22"/>
      <c r="F130" s="22"/>
      <c r="H130" s="22"/>
      <c r="K130" s="22"/>
      <c r="L130" t="str">
        <f t="shared" ref="L130:L193" ca="1" si="2">IF(A130="","",IF(OR(E130="Contratado",E130="Descartado",E130="Retirado",G130="No Contesta (Intento 3 - Final)",G130="Datos Erróneos"),"Cerrado",IF(K130="","Sin Fecha Programada",IF(K130&lt;TODAY(),"VENCIDO",IF(K130=TODAY(),"HOY","En Plazo")))))</f>
        <v/>
      </c>
    </row>
    <row r="131" spans="4:12" x14ac:dyDescent="0.25">
      <c r="D131" s="22"/>
      <c r="F131" s="22"/>
      <c r="H131" s="22"/>
      <c r="K131" s="22"/>
      <c r="L131" t="str">
        <f t="shared" ca="1" si="2"/>
        <v/>
      </c>
    </row>
    <row r="132" spans="4:12" x14ac:dyDescent="0.25">
      <c r="D132" s="22"/>
      <c r="F132" s="22"/>
      <c r="H132" s="22"/>
      <c r="K132" s="22"/>
      <c r="L132" t="str">
        <f t="shared" ca="1" si="2"/>
        <v/>
      </c>
    </row>
    <row r="133" spans="4:12" x14ac:dyDescent="0.25">
      <c r="D133" s="22"/>
      <c r="F133" s="22"/>
      <c r="H133" s="22"/>
      <c r="K133" s="22"/>
      <c r="L133" t="str">
        <f t="shared" ca="1" si="2"/>
        <v/>
      </c>
    </row>
    <row r="134" spans="4:12" x14ac:dyDescent="0.25">
      <c r="D134" s="22"/>
      <c r="F134" s="22"/>
      <c r="H134" s="22"/>
      <c r="K134" s="22"/>
      <c r="L134" t="str">
        <f t="shared" ca="1" si="2"/>
        <v/>
      </c>
    </row>
    <row r="135" spans="4:12" x14ac:dyDescent="0.25">
      <c r="D135" s="22"/>
      <c r="F135" s="22"/>
      <c r="H135" s="22"/>
      <c r="K135" s="22"/>
      <c r="L135" t="str">
        <f t="shared" ca="1" si="2"/>
        <v/>
      </c>
    </row>
    <row r="136" spans="4:12" x14ac:dyDescent="0.25">
      <c r="D136" s="22"/>
      <c r="F136" s="22"/>
      <c r="H136" s="22"/>
      <c r="K136" s="22"/>
      <c r="L136" t="str">
        <f t="shared" ca="1" si="2"/>
        <v/>
      </c>
    </row>
    <row r="137" spans="4:12" x14ac:dyDescent="0.25">
      <c r="D137" s="22"/>
      <c r="F137" s="22"/>
      <c r="H137" s="22"/>
      <c r="K137" s="22"/>
      <c r="L137" t="str">
        <f t="shared" ca="1" si="2"/>
        <v/>
      </c>
    </row>
    <row r="138" spans="4:12" x14ac:dyDescent="0.25">
      <c r="D138" s="22"/>
      <c r="F138" s="22"/>
      <c r="H138" s="22"/>
      <c r="K138" s="22"/>
      <c r="L138" t="str">
        <f t="shared" ca="1" si="2"/>
        <v/>
      </c>
    </row>
    <row r="139" spans="4:12" x14ac:dyDescent="0.25">
      <c r="D139" s="22"/>
      <c r="F139" s="22"/>
      <c r="H139" s="22"/>
      <c r="K139" s="22"/>
      <c r="L139" t="str">
        <f t="shared" ca="1" si="2"/>
        <v/>
      </c>
    </row>
    <row r="140" spans="4:12" x14ac:dyDescent="0.25">
      <c r="D140" s="22"/>
      <c r="F140" s="22"/>
      <c r="H140" s="22"/>
      <c r="K140" s="22"/>
      <c r="L140" t="str">
        <f t="shared" ca="1" si="2"/>
        <v/>
      </c>
    </row>
    <row r="141" spans="4:12" x14ac:dyDescent="0.25">
      <c r="D141" s="22"/>
      <c r="F141" s="22"/>
      <c r="H141" s="22"/>
      <c r="K141" s="22"/>
      <c r="L141" t="str">
        <f t="shared" ca="1" si="2"/>
        <v/>
      </c>
    </row>
    <row r="142" spans="4:12" x14ac:dyDescent="0.25">
      <c r="D142" s="22"/>
      <c r="F142" s="22"/>
      <c r="H142" s="22"/>
      <c r="K142" s="22"/>
      <c r="L142" t="str">
        <f t="shared" ca="1" si="2"/>
        <v/>
      </c>
    </row>
    <row r="143" spans="4:12" x14ac:dyDescent="0.25">
      <c r="D143" s="22"/>
      <c r="F143" s="22"/>
      <c r="H143" s="22"/>
      <c r="K143" s="22"/>
      <c r="L143" t="str">
        <f t="shared" ca="1" si="2"/>
        <v/>
      </c>
    </row>
    <row r="144" spans="4:12" x14ac:dyDescent="0.25">
      <c r="D144" s="22"/>
      <c r="F144" s="22"/>
      <c r="H144" s="22"/>
      <c r="K144" s="22"/>
      <c r="L144" t="str">
        <f t="shared" ca="1" si="2"/>
        <v/>
      </c>
    </row>
    <row r="145" spans="4:12" x14ac:dyDescent="0.25">
      <c r="D145" s="22"/>
      <c r="F145" s="22"/>
      <c r="H145" s="22"/>
      <c r="K145" s="22"/>
      <c r="L145" t="str">
        <f t="shared" ca="1" si="2"/>
        <v/>
      </c>
    </row>
    <row r="146" spans="4:12" x14ac:dyDescent="0.25">
      <c r="D146" s="22"/>
      <c r="F146" s="22"/>
      <c r="H146" s="22"/>
      <c r="K146" s="22"/>
      <c r="L146" t="str">
        <f t="shared" ca="1" si="2"/>
        <v/>
      </c>
    </row>
    <row r="147" spans="4:12" x14ac:dyDescent="0.25">
      <c r="D147" s="22"/>
      <c r="F147" s="22"/>
      <c r="H147" s="22"/>
      <c r="K147" s="22"/>
      <c r="L147" t="str">
        <f t="shared" ca="1" si="2"/>
        <v/>
      </c>
    </row>
    <row r="148" spans="4:12" x14ac:dyDescent="0.25">
      <c r="D148" s="22"/>
      <c r="F148" s="22"/>
      <c r="H148" s="22"/>
      <c r="K148" s="22"/>
      <c r="L148" t="str">
        <f t="shared" ca="1" si="2"/>
        <v/>
      </c>
    </row>
    <row r="149" spans="4:12" x14ac:dyDescent="0.25">
      <c r="D149" s="22"/>
      <c r="F149" s="22"/>
      <c r="H149" s="22"/>
      <c r="K149" s="22"/>
      <c r="L149" t="str">
        <f t="shared" ca="1" si="2"/>
        <v/>
      </c>
    </row>
    <row r="150" spans="4:12" x14ac:dyDescent="0.25">
      <c r="D150" s="22"/>
      <c r="F150" s="22"/>
      <c r="H150" s="22"/>
      <c r="K150" s="22"/>
      <c r="L150" t="str">
        <f t="shared" ca="1" si="2"/>
        <v/>
      </c>
    </row>
    <row r="151" spans="4:12" x14ac:dyDescent="0.25">
      <c r="D151" s="22"/>
      <c r="F151" s="22"/>
      <c r="H151" s="22"/>
      <c r="K151" s="22"/>
      <c r="L151" t="str">
        <f t="shared" ca="1" si="2"/>
        <v/>
      </c>
    </row>
    <row r="152" spans="4:12" x14ac:dyDescent="0.25">
      <c r="D152" s="22"/>
      <c r="F152" s="22"/>
      <c r="H152" s="22"/>
      <c r="K152" s="22"/>
      <c r="L152" t="str">
        <f t="shared" ca="1" si="2"/>
        <v/>
      </c>
    </row>
    <row r="153" spans="4:12" x14ac:dyDescent="0.25">
      <c r="D153" s="22"/>
      <c r="F153" s="22"/>
      <c r="H153" s="22"/>
      <c r="K153" s="22"/>
      <c r="L153" t="str">
        <f t="shared" ca="1" si="2"/>
        <v/>
      </c>
    </row>
    <row r="154" spans="4:12" x14ac:dyDescent="0.25">
      <c r="D154" s="22"/>
      <c r="F154" s="22"/>
      <c r="H154" s="22"/>
      <c r="K154" s="22"/>
      <c r="L154" t="str">
        <f t="shared" ca="1" si="2"/>
        <v/>
      </c>
    </row>
    <row r="155" spans="4:12" x14ac:dyDescent="0.25">
      <c r="D155" s="22"/>
      <c r="F155" s="22"/>
      <c r="H155" s="22"/>
      <c r="K155" s="22"/>
      <c r="L155" t="str">
        <f t="shared" ca="1" si="2"/>
        <v/>
      </c>
    </row>
    <row r="156" spans="4:12" x14ac:dyDescent="0.25">
      <c r="D156" s="22"/>
      <c r="F156" s="22"/>
      <c r="H156" s="22"/>
      <c r="K156" s="22"/>
      <c r="L156" t="str">
        <f t="shared" ca="1" si="2"/>
        <v/>
      </c>
    </row>
    <row r="157" spans="4:12" x14ac:dyDescent="0.25">
      <c r="D157" s="22"/>
      <c r="F157" s="22"/>
      <c r="H157" s="22"/>
      <c r="K157" s="22"/>
      <c r="L157" t="str">
        <f t="shared" ca="1" si="2"/>
        <v/>
      </c>
    </row>
    <row r="158" spans="4:12" x14ac:dyDescent="0.25">
      <c r="D158" s="22"/>
      <c r="F158" s="22"/>
      <c r="H158" s="22"/>
      <c r="K158" s="22"/>
      <c r="L158" t="str">
        <f t="shared" ca="1" si="2"/>
        <v/>
      </c>
    </row>
    <row r="159" spans="4:12" x14ac:dyDescent="0.25">
      <c r="D159" s="22"/>
      <c r="F159" s="22"/>
      <c r="H159" s="22"/>
      <c r="K159" s="22"/>
      <c r="L159" t="str">
        <f t="shared" ca="1" si="2"/>
        <v/>
      </c>
    </row>
    <row r="160" spans="4:12" x14ac:dyDescent="0.25">
      <c r="D160" s="22"/>
      <c r="F160" s="22"/>
      <c r="H160" s="22"/>
      <c r="K160" s="22"/>
      <c r="L160" t="str">
        <f t="shared" ca="1" si="2"/>
        <v/>
      </c>
    </row>
    <row r="161" spans="4:12" x14ac:dyDescent="0.25">
      <c r="D161" s="22"/>
      <c r="F161" s="22"/>
      <c r="H161" s="22"/>
      <c r="K161" s="22"/>
      <c r="L161" t="str">
        <f t="shared" ca="1" si="2"/>
        <v/>
      </c>
    </row>
    <row r="162" spans="4:12" x14ac:dyDescent="0.25">
      <c r="D162" s="22"/>
      <c r="F162" s="22"/>
      <c r="H162" s="22"/>
      <c r="K162" s="22"/>
      <c r="L162" t="str">
        <f t="shared" ca="1" si="2"/>
        <v/>
      </c>
    </row>
    <row r="163" spans="4:12" x14ac:dyDescent="0.25">
      <c r="D163" s="22"/>
      <c r="F163" s="22"/>
      <c r="H163" s="22"/>
      <c r="K163" s="22"/>
      <c r="L163" t="str">
        <f t="shared" ca="1" si="2"/>
        <v/>
      </c>
    </row>
    <row r="164" spans="4:12" x14ac:dyDescent="0.25">
      <c r="D164" s="22"/>
      <c r="F164" s="22"/>
      <c r="H164" s="22"/>
      <c r="K164" s="22"/>
      <c r="L164" t="str">
        <f t="shared" ca="1" si="2"/>
        <v/>
      </c>
    </row>
    <row r="165" spans="4:12" x14ac:dyDescent="0.25">
      <c r="D165" s="22"/>
      <c r="F165" s="22"/>
      <c r="H165" s="22"/>
      <c r="K165" s="22"/>
      <c r="L165" t="str">
        <f t="shared" ca="1" si="2"/>
        <v/>
      </c>
    </row>
    <row r="166" spans="4:12" x14ac:dyDescent="0.25">
      <c r="D166" s="22"/>
      <c r="F166" s="22"/>
      <c r="H166" s="22"/>
      <c r="K166" s="22"/>
      <c r="L166" t="str">
        <f t="shared" ca="1" si="2"/>
        <v/>
      </c>
    </row>
    <row r="167" spans="4:12" x14ac:dyDescent="0.25">
      <c r="D167" s="22"/>
      <c r="F167" s="22"/>
      <c r="H167" s="22"/>
      <c r="K167" s="22"/>
      <c r="L167" t="str">
        <f t="shared" ca="1" si="2"/>
        <v/>
      </c>
    </row>
    <row r="168" spans="4:12" x14ac:dyDescent="0.25">
      <c r="D168" s="22"/>
      <c r="F168" s="22"/>
      <c r="H168" s="22"/>
      <c r="K168" s="22"/>
      <c r="L168" t="str">
        <f t="shared" ca="1" si="2"/>
        <v/>
      </c>
    </row>
    <row r="169" spans="4:12" x14ac:dyDescent="0.25">
      <c r="D169" s="22"/>
      <c r="F169" s="22"/>
      <c r="H169" s="22"/>
      <c r="K169" s="22"/>
      <c r="L169" t="str">
        <f t="shared" ca="1" si="2"/>
        <v/>
      </c>
    </row>
    <row r="170" spans="4:12" x14ac:dyDescent="0.25">
      <c r="D170" s="22"/>
      <c r="F170" s="22"/>
      <c r="H170" s="22"/>
      <c r="K170" s="22"/>
      <c r="L170" t="str">
        <f t="shared" ca="1" si="2"/>
        <v/>
      </c>
    </row>
    <row r="171" spans="4:12" x14ac:dyDescent="0.25">
      <c r="D171" s="22"/>
      <c r="F171" s="22"/>
      <c r="H171" s="22"/>
      <c r="K171" s="22"/>
      <c r="L171" t="str">
        <f t="shared" ca="1" si="2"/>
        <v/>
      </c>
    </row>
    <row r="172" spans="4:12" x14ac:dyDescent="0.25">
      <c r="D172" s="22"/>
      <c r="F172" s="22"/>
      <c r="H172" s="22"/>
      <c r="K172" s="22"/>
      <c r="L172" t="str">
        <f t="shared" ca="1" si="2"/>
        <v/>
      </c>
    </row>
    <row r="173" spans="4:12" x14ac:dyDescent="0.25">
      <c r="D173" s="22"/>
      <c r="F173" s="22"/>
      <c r="H173" s="22"/>
      <c r="K173" s="22"/>
      <c r="L173" t="str">
        <f t="shared" ca="1" si="2"/>
        <v/>
      </c>
    </row>
    <row r="174" spans="4:12" x14ac:dyDescent="0.25">
      <c r="D174" s="22"/>
      <c r="F174" s="22"/>
      <c r="H174" s="22"/>
      <c r="K174" s="22"/>
      <c r="L174" t="str">
        <f t="shared" ca="1" si="2"/>
        <v/>
      </c>
    </row>
    <row r="175" spans="4:12" x14ac:dyDescent="0.25">
      <c r="D175" s="22"/>
      <c r="F175" s="22"/>
      <c r="H175" s="22"/>
      <c r="K175" s="22"/>
      <c r="L175" t="str">
        <f t="shared" ca="1" si="2"/>
        <v/>
      </c>
    </row>
    <row r="176" spans="4:12" x14ac:dyDescent="0.25">
      <c r="D176" s="22"/>
      <c r="F176" s="22"/>
      <c r="H176" s="22"/>
      <c r="K176" s="22"/>
      <c r="L176" t="str">
        <f t="shared" ca="1" si="2"/>
        <v/>
      </c>
    </row>
    <row r="177" spans="4:12" x14ac:dyDescent="0.25">
      <c r="D177" s="22"/>
      <c r="F177" s="22"/>
      <c r="H177" s="22"/>
      <c r="K177" s="22"/>
      <c r="L177" t="str">
        <f t="shared" ca="1" si="2"/>
        <v/>
      </c>
    </row>
    <row r="178" spans="4:12" x14ac:dyDescent="0.25">
      <c r="D178" s="22"/>
      <c r="F178" s="22"/>
      <c r="H178" s="22"/>
      <c r="K178" s="22"/>
      <c r="L178" t="str">
        <f t="shared" ca="1" si="2"/>
        <v/>
      </c>
    </row>
    <row r="179" spans="4:12" x14ac:dyDescent="0.25">
      <c r="D179" s="22"/>
      <c r="F179" s="22"/>
      <c r="H179" s="22"/>
      <c r="K179" s="22"/>
      <c r="L179" t="str">
        <f t="shared" ca="1" si="2"/>
        <v/>
      </c>
    </row>
    <row r="180" spans="4:12" x14ac:dyDescent="0.25">
      <c r="D180" s="22"/>
      <c r="F180" s="22"/>
      <c r="H180" s="22"/>
      <c r="K180" s="22"/>
      <c r="L180" t="str">
        <f t="shared" ca="1" si="2"/>
        <v/>
      </c>
    </row>
    <row r="181" spans="4:12" x14ac:dyDescent="0.25">
      <c r="D181" s="22"/>
      <c r="F181" s="22"/>
      <c r="H181" s="22"/>
      <c r="K181" s="22"/>
      <c r="L181" t="str">
        <f t="shared" ca="1" si="2"/>
        <v/>
      </c>
    </row>
    <row r="182" spans="4:12" x14ac:dyDescent="0.25">
      <c r="D182" s="22"/>
      <c r="F182" s="22"/>
      <c r="H182" s="22"/>
      <c r="K182" s="22"/>
      <c r="L182" t="str">
        <f t="shared" ca="1" si="2"/>
        <v/>
      </c>
    </row>
    <row r="183" spans="4:12" x14ac:dyDescent="0.25">
      <c r="D183" s="22"/>
      <c r="F183" s="22"/>
      <c r="H183" s="22"/>
      <c r="K183" s="22"/>
      <c r="L183" t="str">
        <f t="shared" ca="1" si="2"/>
        <v/>
      </c>
    </row>
    <row r="184" spans="4:12" x14ac:dyDescent="0.25">
      <c r="D184" s="22"/>
      <c r="F184" s="22"/>
      <c r="H184" s="22"/>
      <c r="K184" s="22"/>
      <c r="L184" t="str">
        <f t="shared" ca="1" si="2"/>
        <v/>
      </c>
    </row>
    <row r="185" spans="4:12" x14ac:dyDescent="0.25">
      <c r="D185" s="22"/>
      <c r="F185" s="22"/>
      <c r="H185" s="22"/>
      <c r="K185" s="22"/>
      <c r="L185" t="str">
        <f t="shared" ca="1" si="2"/>
        <v/>
      </c>
    </row>
    <row r="186" spans="4:12" x14ac:dyDescent="0.25">
      <c r="D186" s="22"/>
      <c r="F186" s="22"/>
      <c r="H186" s="22"/>
      <c r="K186" s="22"/>
      <c r="L186" t="str">
        <f t="shared" ca="1" si="2"/>
        <v/>
      </c>
    </row>
    <row r="187" spans="4:12" x14ac:dyDescent="0.25">
      <c r="D187" s="22"/>
      <c r="F187" s="22"/>
      <c r="H187" s="22"/>
      <c r="K187" s="22"/>
      <c r="L187" t="str">
        <f t="shared" ca="1" si="2"/>
        <v/>
      </c>
    </row>
    <row r="188" spans="4:12" x14ac:dyDescent="0.25">
      <c r="D188" s="22"/>
      <c r="F188" s="22"/>
      <c r="H188" s="22"/>
      <c r="K188" s="22"/>
      <c r="L188" t="str">
        <f t="shared" ca="1" si="2"/>
        <v/>
      </c>
    </row>
    <row r="189" spans="4:12" x14ac:dyDescent="0.25">
      <c r="D189" s="22"/>
      <c r="F189" s="22"/>
      <c r="H189" s="22"/>
      <c r="K189" s="22"/>
      <c r="L189" t="str">
        <f t="shared" ca="1" si="2"/>
        <v/>
      </c>
    </row>
    <row r="190" spans="4:12" x14ac:dyDescent="0.25">
      <c r="D190" s="22"/>
      <c r="F190" s="22"/>
      <c r="H190" s="22"/>
      <c r="K190" s="22"/>
      <c r="L190" t="str">
        <f t="shared" ca="1" si="2"/>
        <v/>
      </c>
    </row>
    <row r="191" spans="4:12" x14ac:dyDescent="0.25">
      <c r="D191" s="22"/>
      <c r="F191" s="22"/>
      <c r="H191" s="22"/>
      <c r="K191" s="22"/>
      <c r="L191" t="str">
        <f t="shared" ca="1" si="2"/>
        <v/>
      </c>
    </row>
    <row r="192" spans="4:12" x14ac:dyDescent="0.25">
      <c r="D192" s="22"/>
      <c r="F192" s="22"/>
      <c r="H192" s="22"/>
      <c r="K192" s="22"/>
      <c r="L192" t="str">
        <f t="shared" ca="1" si="2"/>
        <v/>
      </c>
    </row>
    <row r="193" spans="4:12" x14ac:dyDescent="0.25">
      <c r="D193" s="22"/>
      <c r="F193" s="22"/>
      <c r="H193" s="22"/>
      <c r="K193" s="22"/>
      <c r="L193" t="str">
        <f t="shared" ca="1" si="2"/>
        <v/>
      </c>
    </row>
    <row r="194" spans="4:12" x14ac:dyDescent="0.25">
      <c r="D194" s="22"/>
      <c r="F194" s="22"/>
      <c r="H194" s="22"/>
      <c r="K194" s="22"/>
      <c r="L194" t="str">
        <f t="shared" ref="L194:L257" ca="1" si="3">IF(A194="","",IF(OR(E194="Contratado",E194="Descartado",E194="Retirado",G194="No Contesta (Intento 3 - Final)",G194="Datos Erróneos"),"Cerrado",IF(K194="","Sin Fecha Programada",IF(K194&lt;TODAY(),"VENCIDO",IF(K194=TODAY(),"HOY","En Plazo")))))</f>
        <v/>
      </c>
    </row>
    <row r="195" spans="4:12" x14ac:dyDescent="0.25">
      <c r="D195" s="22"/>
      <c r="F195" s="22"/>
      <c r="H195" s="22"/>
      <c r="K195" s="22"/>
      <c r="L195" t="str">
        <f t="shared" ca="1" si="3"/>
        <v/>
      </c>
    </row>
    <row r="196" spans="4:12" x14ac:dyDescent="0.25">
      <c r="D196" s="22"/>
      <c r="F196" s="22"/>
      <c r="H196" s="22"/>
      <c r="K196" s="22"/>
      <c r="L196" t="str">
        <f t="shared" ca="1" si="3"/>
        <v/>
      </c>
    </row>
    <row r="197" spans="4:12" x14ac:dyDescent="0.25">
      <c r="D197" s="22"/>
      <c r="F197" s="22"/>
      <c r="H197" s="22"/>
      <c r="K197" s="22"/>
      <c r="L197" t="str">
        <f t="shared" ca="1" si="3"/>
        <v/>
      </c>
    </row>
    <row r="198" spans="4:12" x14ac:dyDescent="0.25">
      <c r="D198" s="22"/>
      <c r="F198" s="22"/>
      <c r="H198" s="22"/>
      <c r="K198" s="22"/>
      <c r="L198" t="str">
        <f t="shared" ca="1" si="3"/>
        <v/>
      </c>
    </row>
    <row r="199" spans="4:12" x14ac:dyDescent="0.25">
      <c r="D199" s="22"/>
      <c r="F199" s="22"/>
      <c r="H199" s="22"/>
      <c r="K199" s="22"/>
      <c r="L199" t="str">
        <f t="shared" ca="1" si="3"/>
        <v/>
      </c>
    </row>
    <row r="200" spans="4:12" x14ac:dyDescent="0.25">
      <c r="D200" s="22"/>
      <c r="F200" s="22"/>
      <c r="H200" s="22"/>
      <c r="K200" s="22"/>
      <c r="L200" t="str">
        <f t="shared" ca="1" si="3"/>
        <v/>
      </c>
    </row>
    <row r="201" spans="4:12" x14ac:dyDescent="0.25">
      <c r="D201" s="22"/>
      <c r="F201" s="22"/>
      <c r="H201" s="22"/>
      <c r="K201" s="22"/>
      <c r="L201" t="str">
        <f t="shared" ca="1" si="3"/>
        <v/>
      </c>
    </row>
    <row r="202" spans="4:12" x14ac:dyDescent="0.25">
      <c r="D202" s="22"/>
      <c r="F202" s="22"/>
      <c r="H202" s="22"/>
      <c r="K202" s="22"/>
      <c r="L202" t="str">
        <f t="shared" ca="1" si="3"/>
        <v/>
      </c>
    </row>
    <row r="203" spans="4:12" x14ac:dyDescent="0.25">
      <c r="D203" s="22"/>
      <c r="F203" s="22"/>
      <c r="H203" s="22"/>
      <c r="K203" s="22"/>
      <c r="L203" t="str">
        <f t="shared" ca="1" si="3"/>
        <v/>
      </c>
    </row>
    <row r="204" spans="4:12" x14ac:dyDescent="0.25">
      <c r="D204" s="22"/>
      <c r="F204" s="22"/>
      <c r="H204" s="22"/>
      <c r="K204" s="22"/>
      <c r="L204" t="str">
        <f t="shared" ca="1" si="3"/>
        <v/>
      </c>
    </row>
    <row r="205" spans="4:12" x14ac:dyDescent="0.25">
      <c r="D205" s="22"/>
      <c r="F205" s="22"/>
      <c r="H205" s="22"/>
      <c r="K205" s="22"/>
      <c r="L205" t="str">
        <f t="shared" ca="1" si="3"/>
        <v/>
      </c>
    </row>
    <row r="206" spans="4:12" x14ac:dyDescent="0.25">
      <c r="D206" s="22"/>
      <c r="F206" s="22"/>
      <c r="H206" s="22"/>
      <c r="K206" s="22"/>
      <c r="L206" t="str">
        <f t="shared" ca="1" si="3"/>
        <v/>
      </c>
    </row>
    <row r="207" spans="4:12" x14ac:dyDescent="0.25">
      <c r="D207" s="22"/>
      <c r="F207" s="22"/>
      <c r="H207" s="22"/>
      <c r="K207" s="22"/>
      <c r="L207" t="str">
        <f t="shared" ca="1" si="3"/>
        <v/>
      </c>
    </row>
    <row r="208" spans="4:12" x14ac:dyDescent="0.25">
      <c r="D208" s="22"/>
      <c r="F208" s="22"/>
      <c r="H208" s="22"/>
      <c r="K208" s="22"/>
      <c r="L208" t="str">
        <f t="shared" ca="1" si="3"/>
        <v/>
      </c>
    </row>
    <row r="209" spans="4:12" x14ac:dyDescent="0.25">
      <c r="D209" s="22"/>
      <c r="F209" s="22"/>
      <c r="H209" s="22"/>
      <c r="K209" s="22"/>
      <c r="L209" t="str">
        <f t="shared" ca="1" si="3"/>
        <v/>
      </c>
    </row>
    <row r="210" spans="4:12" x14ac:dyDescent="0.25">
      <c r="D210" s="22"/>
      <c r="F210" s="22"/>
      <c r="H210" s="22"/>
      <c r="K210" s="22"/>
      <c r="L210" t="str">
        <f t="shared" ca="1" si="3"/>
        <v/>
      </c>
    </row>
    <row r="211" spans="4:12" x14ac:dyDescent="0.25">
      <c r="D211" s="22"/>
      <c r="F211" s="22"/>
      <c r="H211" s="22"/>
      <c r="K211" s="22"/>
      <c r="L211" t="str">
        <f t="shared" ca="1" si="3"/>
        <v/>
      </c>
    </row>
    <row r="212" spans="4:12" x14ac:dyDescent="0.25">
      <c r="D212" s="22"/>
      <c r="F212" s="22"/>
      <c r="H212" s="22"/>
      <c r="K212" s="22"/>
      <c r="L212" t="str">
        <f t="shared" ca="1" si="3"/>
        <v/>
      </c>
    </row>
    <row r="213" spans="4:12" x14ac:dyDescent="0.25">
      <c r="D213" s="22"/>
      <c r="F213" s="22"/>
      <c r="H213" s="22"/>
      <c r="K213" s="22"/>
      <c r="L213" t="str">
        <f t="shared" ca="1" si="3"/>
        <v/>
      </c>
    </row>
    <row r="214" spans="4:12" x14ac:dyDescent="0.25">
      <c r="D214" s="22"/>
      <c r="F214" s="22"/>
      <c r="H214" s="22"/>
      <c r="K214" s="22"/>
      <c r="L214" t="str">
        <f t="shared" ca="1" si="3"/>
        <v/>
      </c>
    </row>
    <row r="215" spans="4:12" x14ac:dyDescent="0.25">
      <c r="D215" s="22"/>
      <c r="F215" s="22"/>
      <c r="H215" s="22"/>
      <c r="K215" s="22"/>
      <c r="L215" t="str">
        <f t="shared" ca="1" si="3"/>
        <v/>
      </c>
    </row>
    <row r="216" spans="4:12" x14ac:dyDescent="0.25">
      <c r="D216" s="22"/>
      <c r="F216" s="22"/>
      <c r="H216" s="22"/>
      <c r="K216" s="22"/>
      <c r="L216" t="str">
        <f t="shared" ca="1" si="3"/>
        <v/>
      </c>
    </row>
    <row r="217" spans="4:12" x14ac:dyDescent="0.25">
      <c r="D217" s="22"/>
      <c r="F217" s="22"/>
      <c r="H217" s="22"/>
      <c r="K217" s="22"/>
      <c r="L217" t="str">
        <f t="shared" ca="1" si="3"/>
        <v/>
      </c>
    </row>
    <row r="218" spans="4:12" x14ac:dyDescent="0.25">
      <c r="D218" s="22"/>
      <c r="F218" s="22"/>
      <c r="H218" s="22"/>
      <c r="K218" s="22"/>
      <c r="L218" t="str">
        <f t="shared" ca="1" si="3"/>
        <v/>
      </c>
    </row>
    <row r="219" spans="4:12" x14ac:dyDescent="0.25">
      <c r="D219" s="22"/>
      <c r="F219" s="22"/>
      <c r="H219" s="22"/>
      <c r="K219" s="22"/>
      <c r="L219" t="str">
        <f t="shared" ca="1" si="3"/>
        <v/>
      </c>
    </row>
    <row r="220" spans="4:12" x14ac:dyDescent="0.25">
      <c r="D220" s="22"/>
      <c r="F220" s="22"/>
      <c r="H220" s="22"/>
      <c r="K220" s="22"/>
      <c r="L220" t="str">
        <f t="shared" ca="1" si="3"/>
        <v/>
      </c>
    </row>
    <row r="221" spans="4:12" x14ac:dyDescent="0.25">
      <c r="D221" s="22"/>
      <c r="F221" s="22"/>
      <c r="H221" s="22"/>
      <c r="K221" s="22"/>
      <c r="L221" t="str">
        <f t="shared" ca="1" si="3"/>
        <v/>
      </c>
    </row>
    <row r="222" spans="4:12" x14ac:dyDescent="0.25">
      <c r="D222" s="22"/>
      <c r="F222" s="22"/>
      <c r="H222" s="22"/>
      <c r="K222" s="22"/>
      <c r="L222" t="str">
        <f t="shared" ca="1" si="3"/>
        <v/>
      </c>
    </row>
    <row r="223" spans="4:12" x14ac:dyDescent="0.25">
      <c r="D223" s="22"/>
      <c r="F223" s="22"/>
      <c r="H223" s="22"/>
      <c r="K223" s="22"/>
      <c r="L223" t="str">
        <f t="shared" ca="1" si="3"/>
        <v/>
      </c>
    </row>
    <row r="224" spans="4:12" x14ac:dyDescent="0.25">
      <c r="D224" s="22"/>
      <c r="F224" s="22"/>
      <c r="H224" s="22"/>
      <c r="K224" s="22"/>
      <c r="L224" t="str">
        <f t="shared" ca="1" si="3"/>
        <v/>
      </c>
    </row>
    <row r="225" spans="4:12" x14ac:dyDescent="0.25">
      <c r="D225" s="22"/>
      <c r="F225" s="22"/>
      <c r="H225" s="22"/>
      <c r="K225" s="22"/>
      <c r="L225" t="str">
        <f t="shared" ca="1" si="3"/>
        <v/>
      </c>
    </row>
    <row r="226" spans="4:12" x14ac:dyDescent="0.25">
      <c r="D226" s="22"/>
      <c r="F226" s="22"/>
      <c r="H226" s="22"/>
      <c r="K226" s="22"/>
      <c r="L226" t="str">
        <f t="shared" ca="1" si="3"/>
        <v/>
      </c>
    </row>
    <row r="227" spans="4:12" x14ac:dyDescent="0.25">
      <c r="D227" s="22"/>
      <c r="F227" s="22"/>
      <c r="H227" s="22"/>
      <c r="K227" s="22"/>
      <c r="L227" t="str">
        <f t="shared" ca="1" si="3"/>
        <v/>
      </c>
    </row>
    <row r="228" spans="4:12" x14ac:dyDescent="0.25">
      <c r="D228" s="22"/>
      <c r="F228" s="22"/>
      <c r="H228" s="22"/>
      <c r="K228" s="22"/>
      <c r="L228" t="str">
        <f t="shared" ca="1" si="3"/>
        <v/>
      </c>
    </row>
    <row r="229" spans="4:12" x14ac:dyDescent="0.25">
      <c r="D229" s="22"/>
      <c r="F229" s="22"/>
      <c r="H229" s="22"/>
      <c r="K229" s="22"/>
      <c r="L229" t="str">
        <f t="shared" ca="1" si="3"/>
        <v/>
      </c>
    </row>
    <row r="230" spans="4:12" x14ac:dyDescent="0.25">
      <c r="D230" s="22"/>
      <c r="F230" s="22"/>
      <c r="H230" s="22"/>
      <c r="K230" s="22"/>
      <c r="L230" t="str">
        <f t="shared" ca="1" si="3"/>
        <v/>
      </c>
    </row>
    <row r="231" spans="4:12" x14ac:dyDescent="0.25">
      <c r="D231" s="22"/>
      <c r="F231" s="22"/>
      <c r="H231" s="22"/>
      <c r="K231" s="22"/>
      <c r="L231" t="str">
        <f t="shared" ca="1" si="3"/>
        <v/>
      </c>
    </row>
    <row r="232" spans="4:12" x14ac:dyDescent="0.25">
      <c r="D232" s="22"/>
      <c r="F232" s="22"/>
      <c r="H232" s="22"/>
      <c r="K232" s="22"/>
      <c r="L232" t="str">
        <f t="shared" ca="1" si="3"/>
        <v/>
      </c>
    </row>
    <row r="233" spans="4:12" x14ac:dyDescent="0.25">
      <c r="D233" s="22"/>
      <c r="F233" s="22"/>
      <c r="H233" s="22"/>
      <c r="K233" s="22"/>
      <c r="L233" t="str">
        <f t="shared" ca="1" si="3"/>
        <v/>
      </c>
    </row>
    <row r="234" spans="4:12" x14ac:dyDescent="0.25">
      <c r="D234" s="22"/>
      <c r="F234" s="22"/>
      <c r="H234" s="22"/>
      <c r="K234" s="22"/>
      <c r="L234" t="str">
        <f t="shared" ca="1" si="3"/>
        <v/>
      </c>
    </row>
    <row r="235" spans="4:12" x14ac:dyDescent="0.25">
      <c r="D235" s="22"/>
      <c r="F235" s="22"/>
      <c r="H235" s="22"/>
      <c r="K235" s="22"/>
      <c r="L235" t="str">
        <f t="shared" ca="1" si="3"/>
        <v/>
      </c>
    </row>
    <row r="236" spans="4:12" x14ac:dyDescent="0.25">
      <c r="D236" s="22"/>
      <c r="F236" s="22"/>
      <c r="H236" s="22"/>
      <c r="K236" s="22"/>
      <c r="L236" t="str">
        <f t="shared" ca="1" si="3"/>
        <v/>
      </c>
    </row>
    <row r="237" spans="4:12" x14ac:dyDescent="0.25">
      <c r="D237" s="22"/>
      <c r="F237" s="22"/>
      <c r="H237" s="22"/>
      <c r="K237" s="22"/>
      <c r="L237" t="str">
        <f t="shared" ca="1" si="3"/>
        <v/>
      </c>
    </row>
    <row r="238" spans="4:12" x14ac:dyDescent="0.25">
      <c r="D238" s="22"/>
      <c r="F238" s="22"/>
      <c r="H238" s="22"/>
      <c r="K238" s="22"/>
      <c r="L238" t="str">
        <f t="shared" ca="1" si="3"/>
        <v/>
      </c>
    </row>
    <row r="239" spans="4:12" x14ac:dyDescent="0.25">
      <c r="D239" s="22"/>
      <c r="F239" s="22"/>
      <c r="H239" s="22"/>
      <c r="K239" s="22"/>
      <c r="L239" t="str">
        <f t="shared" ca="1" si="3"/>
        <v/>
      </c>
    </row>
    <row r="240" spans="4:12" x14ac:dyDescent="0.25">
      <c r="D240" s="22"/>
      <c r="F240" s="22"/>
      <c r="H240" s="22"/>
      <c r="K240" s="22"/>
      <c r="L240" t="str">
        <f t="shared" ca="1" si="3"/>
        <v/>
      </c>
    </row>
    <row r="241" spans="4:12" x14ac:dyDescent="0.25">
      <c r="D241" s="22"/>
      <c r="F241" s="22"/>
      <c r="H241" s="22"/>
      <c r="K241" s="22"/>
      <c r="L241" t="str">
        <f t="shared" ca="1" si="3"/>
        <v/>
      </c>
    </row>
    <row r="242" spans="4:12" x14ac:dyDescent="0.25">
      <c r="D242" s="22"/>
      <c r="F242" s="22"/>
      <c r="H242" s="22"/>
      <c r="K242" s="22"/>
      <c r="L242" t="str">
        <f t="shared" ca="1" si="3"/>
        <v/>
      </c>
    </row>
    <row r="243" spans="4:12" x14ac:dyDescent="0.25">
      <c r="D243" s="22"/>
      <c r="F243" s="22"/>
      <c r="H243" s="22"/>
      <c r="K243" s="22"/>
      <c r="L243" t="str">
        <f t="shared" ca="1" si="3"/>
        <v/>
      </c>
    </row>
    <row r="244" spans="4:12" x14ac:dyDescent="0.25">
      <c r="D244" s="22"/>
      <c r="F244" s="22"/>
      <c r="H244" s="22"/>
      <c r="K244" s="22"/>
      <c r="L244" t="str">
        <f t="shared" ca="1" si="3"/>
        <v/>
      </c>
    </row>
    <row r="245" spans="4:12" x14ac:dyDescent="0.25">
      <c r="D245" s="22"/>
      <c r="F245" s="22"/>
      <c r="H245" s="22"/>
      <c r="K245" s="22"/>
      <c r="L245" t="str">
        <f t="shared" ca="1" si="3"/>
        <v/>
      </c>
    </row>
    <row r="246" spans="4:12" x14ac:dyDescent="0.25">
      <c r="D246" s="22"/>
      <c r="F246" s="22"/>
      <c r="H246" s="22"/>
      <c r="K246" s="22"/>
      <c r="L246" t="str">
        <f t="shared" ca="1" si="3"/>
        <v/>
      </c>
    </row>
    <row r="247" spans="4:12" x14ac:dyDescent="0.25">
      <c r="D247" s="22"/>
      <c r="F247" s="22"/>
      <c r="H247" s="22"/>
      <c r="K247" s="22"/>
      <c r="L247" t="str">
        <f t="shared" ca="1" si="3"/>
        <v/>
      </c>
    </row>
    <row r="248" spans="4:12" x14ac:dyDescent="0.25">
      <c r="D248" s="22"/>
      <c r="F248" s="22"/>
      <c r="H248" s="22"/>
      <c r="K248" s="22"/>
      <c r="L248" t="str">
        <f t="shared" ca="1" si="3"/>
        <v/>
      </c>
    </row>
    <row r="249" spans="4:12" x14ac:dyDescent="0.25">
      <c r="D249" s="22"/>
      <c r="F249" s="22"/>
      <c r="H249" s="22"/>
      <c r="K249" s="22"/>
      <c r="L249" t="str">
        <f t="shared" ca="1" si="3"/>
        <v/>
      </c>
    </row>
    <row r="250" spans="4:12" x14ac:dyDescent="0.25">
      <c r="D250" s="22"/>
      <c r="F250" s="22"/>
      <c r="H250" s="22"/>
      <c r="K250" s="22"/>
      <c r="L250" t="str">
        <f t="shared" ca="1" si="3"/>
        <v/>
      </c>
    </row>
    <row r="251" spans="4:12" x14ac:dyDescent="0.25">
      <c r="D251" s="22"/>
      <c r="F251" s="22"/>
      <c r="H251" s="22"/>
      <c r="K251" s="22"/>
      <c r="L251" t="str">
        <f t="shared" ca="1" si="3"/>
        <v/>
      </c>
    </row>
    <row r="252" spans="4:12" x14ac:dyDescent="0.25">
      <c r="D252" s="22"/>
      <c r="F252" s="22"/>
      <c r="H252" s="22"/>
      <c r="K252" s="22"/>
      <c r="L252" t="str">
        <f t="shared" ca="1" si="3"/>
        <v/>
      </c>
    </row>
    <row r="253" spans="4:12" x14ac:dyDescent="0.25">
      <c r="D253" s="22"/>
      <c r="F253" s="22"/>
      <c r="H253" s="22"/>
      <c r="K253" s="22"/>
      <c r="L253" t="str">
        <f t="shared" ca="1" si="3"/>
        <v/>
      </c>
    </row>
    <row r="254" spans="4:12" x14ac:dyDescent="0.25">
      <c r="D254" s="22"/>
      <c r="F254" s="22"/>
      <c r="H254" s="22"/>
      <c r="K254" s="22"/>
      <c r="L254" t="str">
        <f t="shared" ca="1" si="3"/>
        <v/>
      </c>
    </row>
    <row r="255" spans="4:12" x14ac:dyDescent="0.25">
      <c r="D255" s="22"/>
      <c r="F255" s="22"/>
      <c r="H255" s="22"/>
      <c r="K255" s="22"/>
      <c r="L255" t="str">
        <f t="shared" ca="1" si="3"/>
        <v/>
      </c>
    </row>
    <row r="256" spans="4:12" x14ac:dyDescent="0.25">
      <c r="D256" s="22"/>
      <c r="F256" s="22"/>
      <c r="H256" s="22"/>
      <c r="K256" s="22"/>
      <c r="L256" t="str">
        <f t="shared" ca="1" si="3"/>
        <v/>
      </c>
    </row>
    <row r="257" spans="4:12" x14ac:dyDescent="0.25">
      <c r="D257" s="22"/>
      <c r="F257" s="22"/>
      <c r="H257" s="22"/>
      <c r="K257" s="22"/>
      <c r="L257" t="str">
        <f t="shared" ca="1" si="3"/>
        <v/>
      </c>
    </row>
    <row r="258" spans="4:12" x14ac:dyDescent="0.25">
      <c r="D258" s="22"/>
      <c r="F258" s="22"/>
      <c r="H258" s="22"/>
      <c r="K258" s="22"/>
      <c r="L258" t="str">
        <f t="shared" ref="L258:L321" ca="1" si="4">IF(A258="","",IF(OR(E258="Contratado",E258="Descartado",E258="Retirado",G258="No Contesta (Intento 3 - Final)",G258="Datos Erróneos"),"Cerrado",IF(K258="","Sin Fecha Programada",IF(K258&lt;TODAY(),"VENCIDO",IF(K258=TODAY(),"HOY","En Plazo")))))</f>
        <v/>
      </c>
    </row>
    <row r="259" spans="4:12" x14ac:dyDescent="0.25">
      <c r="D259" s="22"/>
      <c r="F259" s="22"/>
      <c r="H259" s="22"/>
      <c r="K259" s="22"/>
      <c r="L259" t="str">
        <f t="shared" ca="1" si="4"/>
        <v/>
      </c>
    </row>
    <row r="260" spans="4:12" x14ac:dyDescent="0.25">
      <c r="D260" s="22"/>
      <c r="F260" s="22"/>
      <c r="H260" s="22"/>
      <c r="K260" s="22"/>
      <c r="L260" t="str">
        <f t="shared" ca="1" si="4"/>
        <v/>
      </c>
    </row>
    <row r="261" spans="4:12" x14ac:dyDescent="0.25">
      <c r="D261" s="22"/>
      <c r="F261" s="22"/>
      <c r="H261" s="22"/>
      <c r="K261" s="22"/>
      <c r="L261" t="str">
        <f t="shared" ca="1" si="4"/>
        <v/>
      </c>
    </row>
    <row r="262" spans="4:12" x14ac:dyDescent="0.25">
      <c r="D262" s="22"/>
      <c r="F262" s="22"/>
      <c r="H262" s="22"/>
      <c r="K262" s="22"/>
      <c r="L262" t="str">
        <f t="shared" ca="1" si="4"/>
        <v/>
      </c>
    </row>
    <row r="263" spans="4:12" x14ac:dyDescent="0.25">
      <c r="D263" s="22"/>
      <c r="F263" s="22"/>
      <c r="H263" s="22"/>
      <c r="K263" s="22"/>
      <c r="L263" t="str">
        <f t="shared" ca="1" si="4"/>
        <v/>
      </c>
    </row>
    <row r="264" spans="4:12" x14ac:dyDescent="0.25">
      <c r="D264" s="22"/>
      <c r="F264" s="22"/>
      <c r="H264" s="22"/>
      <c r="K264" s="22"/>
      <c r="L264" t="str">
        <f t="shared" ca="1" si="4"/>
        <v/>
      </c>
    </row>
    <row r="265" spans="4:12" x14ac:dyDescent="0.25">
      <c r="D265" s="22"/>
      <c r="F265" s="22"/>
      <c r="H265" s="22"/>
      <c r="K265" s="22"/>
      <c r="L265" t="str">
        <f t="shared" ca="1" si="4"/>
        <v/>
      </c>
    </row>
    <row r="266" spans="4:12" x14ac:dyDescent="0.25">
      <c r="D266" s="22"/>
      <c r="F266" s="22"/>
      <c r="H266" s="22"/>
      <c r="K266" s="22"/>
      <c r="L266" t="str">
        <f t="shared" ca="1" si="4"/>
        <v/>
      </c>
    </row>
    <row r="267" spans="4:12" x14ac:dyDescent="0.25">
      <c r="D267" s="22"/>
      <c r="F267" s="22"/>
      <c r="H267" s="22"/>
      <c r="K267" s="22"/>
      <c r="L267" t="str">
        <f t="shared" ca="1" si="4"/>
        <v/>
      </c>
    </row>
    <row r="268" spans="4:12" x14ac:dyDescent="0.25">
      <c r="D268" s="22"/>
      <c r="F268" s="22"/>
      <c r="H268" s="22"/>
      <c r="K268" s="22"/>
      <c r="L268" t="str">
        <f t="shared" ca="1" si="4"/>
        <v/>
      </c>
    </row>
    <row r="269" spans="4:12" x14ac:dyDescent="0.25">
      <c r="D269" s="22"/>
      <c r="F269" s="22"/>
      <c r="H269" s="22"/>
      <c r="K269" s="22"/>
      <c r="L269" t="str">
        <f t="shared" ca="1" si="4"/>
        <v/>
      </c>
    </row>
    <row r="270" spans="4:12" x14ac:dyDescent="0.25">
      <c r="D270" s="22"/>
      <c r="F270" s="22"/>
      <c r="H270" s="22"/>
      <c r="K270" s="22"/>
      <c r="L270" t="str">
        <f t="shared" ca="1" si="4"/>
        <v/>
      </c>
    </row>
    <row r="271" spans="4:12" x14ac:dyDescent="0.25">
      <c r="D271" s="22"/>
      <c r="F271" s="22"/>
      <c r="H271" s="22"/>
      <c r="K271" s="22"/>
      <c r="L271" t="str">
        <f t="shared" ca="1" si="4"/>
        <v/>
      </c>
    </row>
    <row r="272" spans="4:12" x14ac:dyDescent="0.25">
      <c r="D272" s="22"/>
      <c r="F272" s="22"/>
      <c r="H272" s="22"/>
      <c r="K272" s="22"/>
      <c r="L272" t="str">
        <f t="shared" ca="1" si="4"/>
        <v/>
      </c>
    </row>
    <row r="273" spans="4:12" x14ac:dyDescent="0.25">
      <c r="D273" s="22"/>
      <c r="F273" s="22"/>
      <c r="H273" s="22"/>
      <c r="K273" s="22"/>
      <c r="L273" t="str">
        <f t="shared" ca="1" si="4"/>
        <v/>
      </c>
    </row>
    <row r="274" spans="4:12" x14ac:dyDescent="0.25">
      <c r="D274" s="22"/>
      <c r="F274" s="22"/>
      <c r="H274" s="22"/>
      <c r="K274" s="22"/>
      <c r="L274" t="str">
        <f t="shared" ca="1" si="4"/>
        <v/>
      </c>
    </row>
    <row r="275" spans="4:12" x14ac:dyDescent="0.25">
      <c r="D275" s="22"/>
      <c r="F275" s="22"/>
      <c r="H275" s="22"/>
      <c r="K275" s="22"/>
      <c r="L275" t="str">
        <f t="shared" ca="1" si="4"/>
        <v/>
      </c>
    </row>
    <row r="276" spans="4:12" x14ac:dyDescent="0.25">
      <c r="D276" s="22"/>
      <c r="F276" s="22"/>
      <c r="H276" s="22"/>
      <c r="K276" s="22"/>
      <c r="L276" t="str">
        <f t="shared" ca="1" si="4"/>
        <v/>
      </c>
    </row>
    <row r="277" spans="4:12" x14ac:dyDescent="0.25">
      <c r="D277" s="22"/>
      <c r="F277" s="22"/>
      <c r="H277" s="22"/>
      <c r="K277" s="22"/>
      <c r="L277" t="str">
        <f t="shared" ca="1" si="4"/>
        <v/>
      </c>
    </row>
    <row r="278" spans="4:12" x14ac:dyDescent="0.25">
      <c r="D278" s="22"/>
      <c r="F278" s="22"/>
      <c r="H278" s="22"/>
      <c r="K278" s="22"/>
      <c r="L278" t="str">
        <f t="shared" ca="1" si="4"/>
        <v/>
      </c>
    </row>
    <row r="279" spans="4:12" x14ac:dyDescent="0.25">
      <c r="D279" s="22"/>
      <c r="F279" s="22"/>
      <c r="H279" s="22"/>
      <c r="K279" s="22"/>
      <c r="L279" t="str">
        <f t="shared" ca="1" si="4"/>
        <v/>
      </c>
    </row>
    <row r="280" spans="4:12" x14ac:dyDescent="0.25">
      <c r="D280" s="22"/>
      <c r="F280" s="22"/>
      <c r="H280" s="22"/>
      <c r="K280" s="22"/>
      <c r="L280" t="str">
        <f t="shared" ca="1" si="4"/>
        <v/>
      </c>
    </row>
    <row r="281" spans="4:12" x14ac:dyDescent="0.25">
      <c r="D281" s="22"/>
      <c r="F281" s="22"/>
      <c r="H281" s="22"/>
      <c r="K281" s="22"/>
      <c r="L281" t="str">
        <f t="shared" ca="1" si="4"/>
        <v/>
      </c>
    </row>
    <row r="282" spans="4:12" x14ac:dyDescent="0.25">
      <c r="D282" s="22"/>
      <c r="F282" s="22"/>
      <c r="H282" s="22"/>
      <c r="K282" s="22"/>
      <c r="L282" t="str">
        <f t="shared" ca="1" si="4"/>
        <v/>
      </c>
    </row>
    <row r="283" spans="4:12" x14ac:dyDescent="0.25">
      <c r="D283" s="22"/>
      <c r="F283" s="22"/>
      <c r="H283" s="22"/>
      <c r="K283" s="22"/>
      <c r="L283" t="str">
        <f t="shared" ca="1" si="4"/>
        <v/>
      </c>
    </row>
    <row r="284" spans="4:12" x14ac:dyDescent="0.25">
      <c r="D284" s="22"/>
      <c r="F284" s="22"/>
      <c r="H284" s="22"/>
      <c r="K284" s="22"/>
      <c r="L284" t="str">
        <f t="shared" ca="1" si="4"/>
        <v/>
      </c>
    </row>
    <row r="285" spans="4:12" x14ac:dyDescent="0.25">
      <c r="D285" s="22"/>
      <c r="F285" s="22"/>
      <c r="H285" s="22"/>
      <c r="K285" s="22"/>
      <c r="L285" t="str">
        <f t="shared" ca="1" si="4"/>
        <v/>
      </c>
    </row>
    <row r="286" spans="4:12" x14ac:dyDescent="0.25">
      <c r="D286" s="22"/>
      <c r="F286" s="22"/>
      <c r="H286" s="22"/>
      <c r="K286" s="22"/>
      <c r="L286" t="str">
        <f t="shared" ca="1" si="4"/>
        <v/>
      </c>
    </row>
    <row r="287" spans="4:12" x14ac:dyDescent="0.25">
      <c r="D287" s="22"/>
      <c r="F287" s="22"/>
      <c r="H287" s="22"/>
      <c r="K287" s="22"/>
      <c r="L287" t="str">
        <f t="shared" ca="1" si="4"/>
        <v/>
      </c>
    </row>
    <row r="288" spans="4:12" x14ac:dyDescent="0.25">
      <c r="D288" s="22"/>
      <c r="F288" s="22"/>
      <c r="H288" s="22"/>
      <c r="K288" s="22"/>
      <c r="L288" t="str">
        <f t="shared" ca="1" si="4"/>
        <v/>
      </c>
    </row>
    <row r="289" spans="4:12" x14ac:dyDescent="0.25">
      <c r="D289" s="22"/>
      <c r="F289" s="22"/>
      <c r="H289" s="22"/>
      <c r="K289" s="22"/>
      <c r="L289" t="str">
        <f t="shared" ca="1" si="4"/>
        <v/>
      </c>
    </row>
    <row r="290" spans="4:12" x14ac:dyDescent="0.25">
      <c r="D290" s="22"/>
      <c r="F290" s="22"/>
      <c r="H290" s="22"/>
      <c r="K290" s="22"/>
      <c r="L290" t="str">
        <f t="shared" ca="1" si="4"/>
        <v/>
      </c>
    </row>
    <row r="291" spans="4:12" x14ac:dyDescent="0.25">
      <c r="D291" s="22"/>
      <c r="F291" s="22"/>
      <c r="H291" s="22"/>
      <c r="K291" s="22"/>
      <c r="L291" t="str">
        <f t="shared" ca="1" si="4"/>
        <v/>
      </c>
    </row>
    <row r="292" spans="4:12" x14ac:dyDescent="0.25">
      <c r="D292" s="22"/>
      <c r="F292" s="22"/>
      <c r="H292" s="22"/>
      <c r="K292" s="22"/>
      <c r="L292" t="str">
        <f t="shared" ca="1" si="4"/>
        <v/>
      </c>
    </row>
    <row r="293" spans="4:12" x14ac:dyDescent="0.25">
      <c r="D293" s="22"/>
      <c r="F293" s="22"/>
      <c r="H293" s="22"/>
      <c r="K293" s="22"/>
      <c r="L293" t="str">
        <f t="shared" ca="1" si="4"/>
        <v/>
      </c>
    </row>
    <row r="294" spans="4:12" x14ac:dyDescent="0.25">
      <c r="D294" s="22"/>
      <c r="F294" s="22"/>
      <c r="H294" s="22"/>
      <c r="K294" s="22"/>
      <c r="L294" t="str">
        <f t="shared" ca="1" si="4"/>
        <v/>
      </c>
    </row>
    <row r="295" spans="4:12" x14ac:dyDescent="0.25">
      <c r="D295" s="22"/>
      <c r="F295" s="22"/>
      <c r="H295" s="22"/>
      <c r="K295" s="22"/>
      <c r="L295" t="str">
        <f t="shared" ca="1" si="4"/>
        <v/>
      </c>
    </row>
    <row r="296" spans="4:12" x14ac:dyDescent="0.25">
      <c r="D296" s="22"/>
      <c r="F296" s="22"/>
      <c r="H296" s="22"/>
      <c r="K296" s="22"/>
      <c r="L296" t="str">
        <f t="shared" ca="1" si="4"/>
        <v/>
      </c>
    </row>
    <row r="297" spans="4:12" x14ac:dyDescent="0.25">
      <c r="D297" s="22"/>
      <c r="F297" s="22"/>
      <c r="H297" s="22"/>
      <c r="K297" s="22"/>
      <c r="L297" t="str">
        <f t="shared" ca="1" si="4"/>
        <v/>
      </c>
    </row>
    <row r="298" spans="4:12" x14ac:dyDescent="0.25">
      <c r="D298" s="22"/>
      <c r="F298" s="22"/>
      <c r="H298" s="22"/>
      <c r="K298" s="22"/>
      <c r="L298" t="str">
        <f t="shared" ca="1" si="4"/>
        <v/>
      </c>
    </row>
    <row r="299" spans="4:12" x14ac:dyDescent="0.25">
      <c r="D299" s="22"/>
      <c r="F299" s="22"/>
      <c r="H299" s="22"/>
      <c r="K299" s="22"/>
      <c r="L299" t="str">
        <f t="shared" ca="1" si="4"/>
        <v/>
      </c>
    </row>
    <row r="300" spans="4:12" x14ac:dyDescent="0.25">
      <c r="D300" s="22"/>
      <c r="F300" s="22"/>
      <c r="H300" s="22"/>
      <c r="K300" s="22"/>
      <c r="L300" t="str">
        <f t="shared" ca="1" si="4"/>
        <v/>
      </c>
    </row>
    <row r="301" spans="4:12" x14ac:dyDescent="0.25">
      <c r="D301" s="22"/>
      <c r="F301" s="22"/>
      <c r="H301" s="22"/>
      <c r="K301" s="22"/>
      <c r="L301" t="str">
        <f t="shared" ca="1" si="4"/>
        <v/>
      </c>
    </row>
    <row r="302" spans="4:12" x14ac:dyDescent="0.25">
      <c r="D302" s="22"/>
      <c r="F302" s="22"/>
      <c r="H302" s="22"/>
      <c r="K302" s="22"/>
      <c r="L302" t="str">
        <f t="shared" ca="1" si="4"/>
        <v/>
      </c>
    </row>
    <row r="303" spans="4:12" x14ac:dyDescent="0.25">
      <c r="D303" s="22"/>
      <c r="F303" s="22"/>
      <c r="H303" s="22"/>
      <c r="K303" s="22"/>
      <c r="L303" t="str">
        <f t="shared" ca="1" si="4"/>
        <v/>
      </c>
    </row>
    <row r="304" spans="4:12" x14ac:dyDescent="0.25">
      <c r="D304" s="22"/>
      <c r="F304" s="22"/>
      <c r="H304" s="22"/>
      <c r="K304" s="22"/>
      <c r="L304" t="str">
        <f t="shared" ca="1" si="4"/>
        <v/>
      </c>
    </row>
    <row r="305" spans="4:12" x14ac:dyDescent="0.25">
      <c r="D305" s="22"/>
      <c r="F305" s="22"/>
      <c r="H305" s="22"/>
      <c r="K305" s="22"/>
      <c r="L305" t="str">
        <f t="shared" ca="1" si="4"/>
        <v/>
      </c>
    </row>
    <row r="306" spans="4:12" x14ac:dyDescent="0.25">
      <c r="D306" s="22"/>
      <c r="F306" s="22"/>
      <c r="H306" s="22"/>
      <c r="K306" s="22"/>
      <c r="L306" t="str">
        <f t="shared" ca="1" si="4"/>
        <v/>
      </c>
    </row>
    <row r="307" spans="4:12" x14ac:dyDescent="0.25">
      <c r="D307" s="22"/>
      <c r="F307" s="22"/>
      <c r="H307" s="22"/>
      <c r="K307" s="22"/>
      <c r="L307" t="str">
        <f t="shared" ca="1" si="4"/>
        <v/>
      </c>
    </row>
    <row r="308" spans="4:12" x14ac:dyDescent="0.25">
      <c r="D308" s="22"/>
      <c r="F308" s="22"/>
      <c r="H308" s="22"/>
      <c r="K308" s="22"/>
      <c r="L308" t="str">
        <f t="shared" ca="1" si="4"/>
        <v/>
      </c>
    </row>
    <row r="309" spans="4:12" x14ac:dyDescent="0.25">
      <c r="D309" s="22"/>
      <c r="F309" s="22"/>
      <c r="H309" s="22"/>
      <c r="K309" s="22"/>
      <c r="L309" t="str">
        <f t="shared" ca="1" si="4"/>
        <v/>
      </c>
    </row>
    <row r="310" spans="4:12" x14ac:dyDescent="0.25">
      <c r="D310" s="22"/>
      <c r="F310" s="22"/>
      <c r="H310" s="22"/>
      <c r="K310" s="22"/>
      <c r="L310" t="str">
        <f t="shared" ca="1" si="4"/>
        <v/>
      </c>
    </row>
    <row r="311" spans="4:12" x14ac:dyDescent="0.25">
      <c r="D311" s="22"/>
      <c r="F311" s="22"/>
      <c r="H311" s="22"/>
      <c r="K311" s="22"/>
      <c r="L311" t="str">
        <f t="shared" ca="1" si="4"/>
        <v/>
      </c>
    </row>
    <row r="312" spans="4:12" x14ac:dyDescent="0.25">
      <c r="D312" s="22"/>
      <c r="F312" s="22"/>
      <c r="H312" s="22"/>
      <c r="K312" s="22"/>
      <c r="L312" t="str">
        <f t="shared" ca="1" si="4"/>
        <v/>
      </c>
    </row>
    <row r="313" spans="4:12" x14ac:dyDescent="0.25">
      <c r="D313" s="22"/>
      <c r="F313" s="22"/>
      <c r="H313" s="22"/>
      <c r="K313" s="22"/>
      <c r="L313" t="str">
        <f t="shared" ca="1" si="4"/>
        <v/>
      </c>
    </row>
    <row r="314" spans="4:12" x14ac:dyDescent="0.25">
      <c r="D314" s="22"/>
      <c r="F314" s="22"/>
      <c r="H314" s="22"/>
      <c r="K314" s="22"/>
      <c r="L314" t="str">
        <f t="shared" ca="1" si="4"/>
        <v/>
      </c>
    </row>
    <row r="315" spans="4:12" x14ac:dyDescent="0.25">
      <c r="D315" s="22"/>
      <c r="F315" s="22"/>
      <c r="H315" s="22"/>
      <c r="K315" s="22"/>
      <c r="L315" t="str">
        <f t="shared" ca="1" si="4"/>
        <v/>
      </c>
    </row>
    <row r="316" spans="4:12" x14ac:dyDescent="0.25">
      <c r="D316" s="22"/>
      <c r="F316" s="22"/>
      <c r="H316" s="22"/>
      <c r="K316" s="22"/>
      <c r="L316" t="str">
        <f t="shared" ca="1" si="4"/>
        <v/>
      </c>
    </row>
    <row r="317" spans="4:12" x14ac:dyDescent="0.25">
      <c r="D317" s="22"/>
      <c r="F317" s="22"/>
      <c r="H317" s="22"/>
      <c r="K317" s="22"/>
      <c r="L317" t="str">
        <f t="shared" ca="1" si="4"/>
        <v/>
      </c>
    </row>
    <row r="318" spans="4:12" x14ac:dyDescent="0.25">
      <c r="D318" s="22"/>
      <c r="F318" s="22"/>
      <c r="H318" s="22"/>
      <c r="K318" s="22"/>
      <c r="L318" t="str">
        <f t="shared" ca="1" si="4"/>
        <v/>
      </c>
    </row>
    <row r="319" spans="4:12" x14ac:dyDescent="0.25">
      <c r="D319" s="22"/>
      <c r="F319" s="22"/>
      <c r="H319" s="22"/>
      <c r="K319" s="22"/>
      <c r="L319" t="str">
        <f t="shared" ca="1" si="4"/>
        <v/>
      </c>
    </row>
    <row r="320" spans="4:12" x14ac:dyDescent="0.25">
      <c r="D320" s="22"/>
      <c r="F320" s="22"/>
      <c r="H320" s="22"/>
      <c r="K320" s="22"/>
      <c r="L320" t="str">
        <f t="shared" ca="1" si="4"/>
        <v/>
      </c>
    </row>
    <row r="321" spans="4:12" x14ac:dyDescent="0.25">
      <c r="D321" s="22"/>
      <c r="F321" s="22"/>
      <c r="H321" s="22"/>
      <c r="K321" s="22"/>
      <c r="L321" t="str">
        <f t="shared" ca="1" si="4"/>
        <v/>
      </c>
    </row>
    <row r="322" spans="4:12" x14ac:dyDescent="0.25">
      <c r="D322" s="22"/>
      <c r="F322" s="22"/>
      <c r="H322" s="22"/>
      <c r="K322" s="22"/>
      <c r="L322" t="str">
        <f t="shared" ref="L322:L385" ca="1" si="5">IF(A322="","",IF(OR(E322="Contratado",E322="Descartado",E322="Retirado",G322="No Contesta (Intento 3 - Final)",G322="Datos Erróneos"),"Cerrado",IF(K322="","Sin Fecha Programada",IF(K322&lt;TODAY(),"VENCIDO",IF(K322=TODAY(),"HOY","En Plazo")))))</f>
        <v/>
      </c>
    </row>
    <row r="323" spans="4:12" x14ac:dyDescent="0.25">
      <c r="D323" s="22"/>
      <c r="F323" s="22"/>
      <c r="H323" s="22"/>
      <c r="K323" s="22"/>
      <c r="L323" t="str">
        <f t="shared" ca="1" si="5"/>
        <v/>
      </c>
    </row>
    <row r="324" spans="4:12" x14ac:dyDescent="0.25">
      <c r="D324" s="22"/>
      <c r="F324" s="22"/>
      <c r="H324" s="22"/>
      <c r="K324" s="22"/>
      <c r="L324" t="str">
        <f t="shared" ca="1" si="5"/>
        <v/>
      </c>
    </row>
    <row r="325" spans="4:12" x14ac:dyDescent="0.25">
      <c r="D325" s="22"/>
      <c r="F325" s="22"/>
      <c r="H325" s="22"/>
      <c r="K325" s="22"/>
      <c r="L325" t="str">
        <f t="shared" ca="1" si="5"/>
        <v/>
      </c>
    </row>
    <row r="326" spans="4:12" x14ac:dyDescent="0.25">
      <c r="D326" s="22"/>
      <c r="F326" s="22"/>
      <c r="H326" s="22"/>
      <c r="K326" s="22"/>
      <c r="L326" t="str">
        <f t="shared" ca="1" si="5"/>
        <v/>
      </c>
    </row>
    <row r="327" spans="4:12" x14ac:dyDescent="0.25">
      <c r="D327" s="22"/>
      <c r="F327" s="22"/>
      <c r="H327" s="22"/>
      <c r="K327" s="22"/>
      <c r="L327" t="str">
        <f t="shared" ca="1" si="5"/>
        <v/>
      </c>
    </row>
    <row r="328" spans="4:12" x14ac:dyDescent="0.25">
      <c r="D328" s="22"/>
      <c r="F328" s="22"/>
      <c r="H328" s="22"/>
      <c r="K328" s="22"/>
      <c r="L328" t="str">
        <f t="shared" ca="1" si="5"/>
        <v/>
      </c>
    </row>
    <row r="329" spans="4:12" x14ac:dyDescent="0.25">
      <c r="D329" s="22"/>
      <c r="F329" s="22"/>
      <c r="H329" s="22"/>
      <c r="K329" s="22"/>
      <c r="L329" t="str">
        <f t="shared" ca="1" si="5"/>
        <v/>
      </c>
    </row>
    <row r="330" spans="4:12" x14ac:dyDescent="0.25">
      <c r="D330" s="22"/>
      <c r="F330" s="22"/>
      <c r="H330" s="22"/>
      <c r="K330" s="22"/>
      <c r="L330" t="str">
        <f t="shared" ca="1" si="5"/>
        <v/>
      </c>
    </row>
    <row r="331" spans="4:12" x14ac:dyDescent="0.25">
      <c r="D331" s="22"/>
      <c r="F331" s="22"/>
      <c r="H331" s="22"/>
      <c r="K331" s="22"/>
      <c r="L331" t="str">
        <f t="shared" ca="1" si="5"/>
        <v/>
      </c>
    </row>
    <row r="332" spans="4:12" x14ac:dyDescent="0.25">
      <c r="D332" s="22"/>
      <c r="F332" s="22"/>
      <c r="H332" s="22"/>
      <c r="K332" s="22"/>
      <c r="L332" t="str">
        <f t="shared" ca="1" si="5"/>
        <v/>
      </c>
    </row>
    <row r="333" spans="4:12" x14ac:dyDescent="0.25">
      <c r="D333" s="22"/>
      <c r="F333" s="22"/>
      <c r="H333" s="22"/>
      <c r="K333" s="22"/>
      <c r="L333" t="str">
        <f t="shared" ca="1" si="5"/>
        <v/>
      </c>
    </row>
    <row r="334" spans="4:12" x14ac:dyDescent="0.25">
      <c r="D334" s="22"/>
      <c r="F334" s="22"/>
      <c r="H334" s="22"/>
      <c r="K334" s="22"/>
      <c r="L334" t="str">
        <f t="shared" ca="1" si="5"/>
        <v/>
      </c>
    </row>
    <row r="335" spans="4:12" x14ac:dyDescent="0.25">
      <c r="D335" s="22"/>
      <c r="F335" s="22"/>
      <c r="H335" s="22"/>
      <c r="K335" s="22"/>
      <c r="L335" t="str">
        <f t="shared" ca="1" si="5"/>
        <v/>
      </c>
    </row>
    <row r="336" spans="4:12" x14ac:dyDescent="0.25">
      <c r="D336" s="22"/>
      <c r="F336" s="22"/>
      <c r="H336" s="22"/>
      <c r="K336" s="22"/>
      <c r="L336" t="str">
        <f t="shared" ca="1" si="5"/>
        <v/>
      </c>
    </row>
    <row r="337" spans="4:12" x14ac:dyDescent="0.25">
      <c r="D337" s="22"/>
      <c r="F337" s="22"/>
      <c r="H337" s="22"/>
      <c r="K337" s="22"/>
      <c r="L337" t="str">
        <f t="shared" ca="1" si="5"/>
        <v/>
      </c>
    </row>
    <row r="338" spans="4:12" x14ac:dyDescent="0.25">
      <c r="D338" s="22"/>
      <c r="F338" s="22"/>
      <c r="H338" s="22"/>
      <c r="K338" s="22"/>
      <c r="L338" t="str">
        <f t="shared" ca="1" si="5"/>
        <v/>
      </c>
    </row>
    <row r="339" spans="4:12" x14ac:dyDescent="0.25">
      <c r="D339" s="22"/>
      <c r="F339" s="22"/>
      <c r="H339" s="22"/>
      <c r="K339" s="22"/>
      <c r="L339" t="str">
        <f t="shared" ca="1" si="5"/>
        <v/>
      </c>
    </row>
    <row r="340" spans="4:12" x14ac:dyDescent="0.25">
      <c r="D340" s="22"/>
      <c r="F340" s="22"/>
      <c r="H340" s="22"/>
      <c r="K340" s="22"/>
      <c r="L340" t="str">
        <f t="shared" ca="1" si="5"/>
        <v/>
      </c>
    </row>
    <row r="341" spans="4:12" x14ac:dyDescent="0.25">
      <c r="D341" s="22"/>
      <c r="F341" s="22"/>
      <c r="H341" s="22"/>
      <c r="K341" s="22"/>
      <c r="L341" t="str">
        <f t="shared" ca="1" si="5"/>
        <v/>
      </c>
    </row>
    <row r="342" spans="4:12" x14ac:dyDescent="0.25">
      <c r="D342" s="22"/>
      <c r="F342" s="22"/>
      <c r="H342" s="22"/>
      <c r="K342" s="22"/>
      <c r="L342" t="str">
        <f t="shared" ca="1" si="5"/>
        <v/>
      </c>
    </row>
    <row r="343" spans="4:12" x14ac:dyDescent="0.25">
      <c r="D343" s="22"/>
      <c r="F343" s="22"/>
      <c r="H343" s="22"/>
      <c r="K343" s="22"/>
      <c r="L343" t="str">
        <f t="shared" ca="1" si="5"/>
        <v/>
      </c>
    </row>
    <row r="344" spans="4:12" x14ac:dyDescent="0.25">
      <c r="D344" s="22"/>
      <c r="F344" s="22"/>
      <c r="H344" s="22"/>
      <c r="K344" s="22"/>
      <c r="L344" t="str">
        <f t="shared" ca="1" si="5"/>
        <v/>
      </c>
    </row>
    <row r="345" spans="4:12" x14ac:dyDescent="0.25">
      <c r="D345" s="22"/>
      <c r="F345" s="22"/>
      <c r="H345" s="22"/>
      <c r="K345" s="22"/>
      <c r="L345" t="str">
        <f t="shared" ca="1" si="5"/>
        <v/>
      </c>
    </row>
    <row r="346" spans="4:12" x14ac:dyDescent="0.25">
      <c r="D346" s="22"/>
      <c r="F346" s="22"/>
      <c r="H346" s="22"/>
      <c r="K346" s="22"/>
      <c r="L346" t="str">
        <f t="shared" ca="1" si="5"/>
        <v/>
      </c>
    </row>
    <row r="347" spans="4:12" x14ac:dyDescent="0.25">
      <c r="D347" s="22"/>
      <c r="F347" s="22"/>
      <c r="H347" s="22"/>
      <c r="K347" s="22"/>
      <c r="L347" t="str">
        <f t="shared" ca="1" si="5"/>
        <v/>
      </c>
    </row>
    <row r="348" spans="4:12" x14ac:dyDescent="0.25">
      <c r="D348" s="22"/>
      <c r="F348" s="22"/>
      <c r="H348" s="22"/>
      <c r="K348" s="22"/>
      <c r="L348" t="str">
        <f t="shared" ca="1" si="5"/>
        <v/>
      </c>
    </row>
    <row r="349" spans="4:12" x14ac:dyDescent="0.25">
      <c r="D349" s="22"/>
      <c r="F349" s="22"/>
      <c r="H349" s="22"/>
      <c r="K349" s="22"/>
      <c r="L349" t="str">
        <f t="shared" ca="1" si="5"/>
        <v/>
      </c>
    </row>
    <row r="350" spans="4:12" x14ac:dyDescent="0.25">
      <c r="D350" s="22"/>
      <c r="F350" s="22"/>
      <c r="H350" s="22"/>
      <c r="K350" s="22"/>
      <c r="L350" t="str">
        <f t="shared" ca="1" si="5"/>
        <v/>
      </c>
    </row>
    <row r="351" spans="4:12" x14ac:dyDescent="0.25">
      <c r="D351" s="22"/>
      <c r="F351" s="22"/>
      <c r="H351" s="22"/>
      <c r="K351" s="22"/>
      <c r="L351" t="str">
        <f t="shared" ca="1" si="5"/>
        <v/>
      </c>
    </row>
    <row r="352" spans="4:12" x14ac:dyDescent="0.25">
      <c r="D352" s="22"/>
      <c r="F352" s="22"/>
      <c r="H352" s="22"/>
      <c r="K352" s="22"/>
      <c r="L352" t="str">
        <f t="shared" ca="1" si="5"/>
        <v/>
      </c>
    </row>
    <row r="353" spans="4:12" x14ac:dyDescent="0.25">
      <c r="D353" s="22"/>
      <c r="F353" s="22"/>
      <c r="H353" s="22"/>
      <c r="K353" s="22"/>
      <c r="L353" t="str">
        <f t="shared" ca="1" si="5"/>
        <v/>
      </c>
    </row>
    <row r="354" spans="4:12" x14ac:dyDescent="0.25">
      <c r="D354" s="22"/>
      <c r="F354" s="22"/>
      <c r="H354" s="22"/>
      <c r="K354" s="22"/>
      <c r="L354" t="str">
        <f t="shared" ca="1" si="5"/>
        <v/>
      </c>
    </row>
    <row r="355" spans="4:12" x14ac:dyDescent="0.25">
      <c r="D355" s="22"/>
      <c r="F355" s="22"/>
      <c r="H355" s="22"/>
      <c r="K355" s="22"/>
      <c r="L355" t="str">
        <f t="shared" ca="1" si="5"/>
        <v/>
      </c>
    </row>
    <row r="356" spans="4:12" x14ac:dyDescent="0.25">
      <c r="D356" s="22"/>
      <c r="F356" s="22"/>
      <c r="H356" s="22"/>
      <c r="K356" s="22"/>
      <c r="L356" t="str">
        <f t="shared" ca="1" si="5"/>
        <v/>
      </c>
    </row>
    <row r="357" spans="4:12" x14ac:dyDescent="0.25">
      <c r="D357" s="22"/>
      <c r="F357" s="22"/>
      <c r="H357" s="22"/>
      <c r="K357" s="22"/>
      <c r="L357" t="str">
        <f t="shared" ca="1" si="5"/>
        <v/>
      </c>
    </row>
    <row r="358" spans="4:12" x14ac:dyDescent="0.25">
      <c r="D358" s="22"/>
      <c r="F358" s="22"/>
      <c r="H358" s="22"/>
      <c r="K358" s="22"/>
      <c r="L358" t="str">
        <f t="shared" ca="1" si="5"/>
        <v/>
      </c>
    </row>
    <row r="359" spans="4:12" x14ac:dyDescent="0.25">
      <c r="D359" s="22"/>
      <c r="F359" s="22"/>
      <c r="H359" s="22"/>
      <c r="K359" s="22"/>
      <c r="L359" t="str">
        <f t="shared" ca="1" si="5"/>
        <v/>
      </c>
    </row>
    <row r="360" spans="4:12" x14ac:dyDescent="0.25">
      <c r="D360" s="22"/>
      <c r="F360" s="22"/>
      <c r="H360" s="22"/>
      <c r="K360" s="22"/>
      <c r="L360" t="str">
        <f t="shared" ca="1" si="5"/>
        <v/>
      </c>
    </row>
    <row r="361" spans="4:12" x14ac:dyDescent="0.25">
      <c r="D361" s="22"/>
      <c r="F361" s="22"/>
      <c r="H361" s="22"/>
      <c r="K361" s="22"/>
      <c r="L361" t="str">
        <f t="shared" ca="1" si="5"/>
        <v/>
      </c>
    </row>
    <row r="362" spans="4:12" x14ac:dyDescent="0.25">
      <c r="D362" s="22"/>
      <c r="F362" s="22"/>
      <c r="H362" s="22"/>
      <c r="K362" s="22"/>
      <c r="L362" t="str">
        <f t="shared" ca="1" si="5"/>
        <v/>
      </c>
    </row>
    <row r="363" spans="4:12" x14ac:dyDescent="0.25">
      <c r="D363" s="22"/>
      <c r="F363" s="22"/>
      <c r="H363" s="22"/>
      <c r="K363" s="22"/>
      <c r="L363" t="str">
        <f t="shared" ca="1" si="5"/>
        <v/>
      </c>
    </row>
    <row r="364" spans="4:12" x14ac:dyDescent="0.25">
      <c r="D364" s="22"/>
      <c r="F364" s="22"/>
      <c r="H364" s="22"/>
      <c r="K364" s="22"/>
      <c r="L364" t="str">
        <f t="shared" ca="1" si="5"/>
        <v/>
      </c>
    </row>
    <row r="365" spans="4:12" x14ac:dyDescent="0.25">
      <c r="D365" s="22"/>
      <c r="F365" s="22"/>
      <c r="H365" s="22"/>
      <c r="K365" s="22"/>
      <c r="L365" t="str">
        <f t="shared" ca="1" si="5"/>
        <v/>
      </c>
    </row>
    <row r="366" spans="4:12" x14ac:dyDescent="0.25">
      <c r="D366" s="22"/>
      <c r="F366" s="22"/>
      <c r="H366" s="22"/>
      <c r="K366" s="22"/>
      <c r="L366" t="str">
        <f t="shared" ca="1" si="5"/>
        <v/>
      </c>
    </row>
    <row r="367" spans="4:12" x14ac:dyDescent="0.25">
      <c r="D367" s="22"/>
      <c r="F367" s="22"/>
      <c r="H367" s="22"/>
      <c r="K367" s="22"/>
      <c r="L367" t="str">
        <f t="shared" ca="1" si="5"/>
        <v/>
      </c>
    </row>
    <row r="368" spans="4:12" x14ac:dyDescent="0.25">
      <c r="D368" s="22"/>
      <c r="F368" s="22"/>
      <c r="H368" s="22"/>
      <c r="K368" s="22"/>
      <c r="L368" t="str">
        <f t="shared" ca="1" si="5"/>
        <v/>
      </c>
    </row>
    <row r="369" spans="4:12" x14ac:dyDescent="0.25">
      <c r="D369" s="22"/>
      <c r="F369" s="22"/>
      <c r="H369" s="22"/>
      <c r="K369" s="22"/>
      <c r="L369" t="str">
        <f t="shared" ca="1" si="5"/>
        <v/>
      </c>
    </row>
    <row r="370" spans="4:12" x14ac:dyDescent="0.25">
      <c r="D370" s="22"/>
      <c r="F370" s="22"/>
      <c r="H370" s="22"/>
      <c r="K370" s="22"/>
      <c r="L370" t="str">
        <f t="shared" ca="1" si="5"/>
        <v/>
      </c>
    </row>
    <row r="371" spans="4:12" x14ac:dyDescent="0.25">
      <c r="D371" s="22"/>
      <c r="F371" s="22"/>
      <c r="H371" s="22"/>
      <c r="K371" s="22"/>
      <c r="L371" t="str">
        <f t="shared" ca="1" si="5"/>
        <v/>
      </c>
    </row>
    <row r="372" spans="4:12" x14ac:dyDescent="0.25">
      <c r="D372" s="22"/>
      <c r="F372" s="22"/>
      <c r="H372" s="22"/>
      <c r="K372" s="22"/>
      <c r="L372" t="str">
        <f t="shared" ca="1" si="5"/>
        <v/>
      </c>
    </row>
    <row r="373" spans="4:12" x14ac:dyDescent="0.25">
      <c r="D373" s="22"/>
      <c r="F373" s="22"/>
      <c r="H373" s="22"/>
      <c r="K373" s="22"/>
      <c r="L373" t="str">
        <f t="shared" ca="1" si="5"/>
        <v/>
      </c>
    </row>
    <row r="374" spans="4:12" x14ac:dyDescent="0.25">
      <c r="D374" s="22"/>
      <c r="F374" s="22"/>
      <c r="H374" s="22"/>
      <c r="K374" s="22"/>
      <c r="L374" t="str">
        <f t="shared" ca="1" si="5"/>
        <v/>
      </c>
    </row>
    <row r="375" spans="4:12" x14ac:dyDescent="0.25">
      <c r="D375" s="22"/>
      <c r="F375" s="22"/>
      <c r="H375" s="22"/>
      <c r="K375" s="22"/>
      <c r="L375" t="str">
        <f t="shared" ca="1" si="5"/>
        <v/>
      </c>
    </row>
    <row r="376" spans="4:12" x14ac:dyDescent="0.25">
      <c r="D376" s="22"/>
      <c r="F376" s="22"/>
      <c r="H376" s="22"/>
      <c r="K376" s="22"/>
      <c r="L376" t="str">
        <f t="shared" ca="1" si="5"/>
        <v/>
      </c>
    </row>
    <row r="377" spans="4:12" x14ac:dyDescent="0.25">
      <c r="D377" s="22"/>
      <c r="F377" s="22"/>
      <c r="H377" s="22"/>
      <c r="K377" s="22"/>
      <c r="L377" t="str">
        <f t="shared" ca="1" si="5"/>
        <v/>
      </c>
    </row>
    <row r="378" spans="4:12" x14ac:dyDescent="0.25">
      <c r="D378" s="22"/>
      <c r="F378" s="22"/>
      <c r="H378" s="22"/>
      <c r="K378" s="22"/>
      <c r="L378" t="str">
        <f t="shared" ca="1" si="5"/>
        <v/>
      </c>
    </row>
    <row r="379" spans="4:12" x14ac:dyDescent="0.25">
      <c r="D379" s="22"/>
      <c r="F379" s="22"/>
      <c r="H379" s="22"/>
      <c r="K379" s="22"/>
      <c r="L379" t="str">
        <f t="shared" ca="1" si="5"/>
        <v/>
      </c>
    </row>
    <row r="380" spans="4:12" x14ac:dyDescent="0.25">
      <c r="D380" s="22"/>
      <c r="F380" s="22"/>
      <c r="H380" s="22"/>
      <c r="K380" s="22"/>
      <c r="L380" t="str">
        <f t="shared" ca="1" si="5"/>
        <v/>
      </c>
    </row>
    <row r="381" spans="4:12" x14ac:dyDescent="0.25">
      <c r="D381" s="22"/>
      <c r="F381" s="22"/>
      <c r="H381" s="22"/>
      <c r="K381" s="22"/>
      <c r="L381" t="str">
        <f t="shared" ca="1" si="5"/>
        <v/>
      </c>
    </row>
    <row r="382" spans="4:12" x14ac:dyDescent="0.25">
      <c r="D382" s="22"/>
      <c r="F382" s="22"/>
      <c r="H382" s="22"/>
      <c r="K382" s="22"/>
      <c r="L382" t="str">
        <f t="shared" ca="1" si="5"/>
        <v/>
      </c>
    </row>
    <row r="383" spans="4:12" x14ac:dyDescent="0.25">
      <c r="D383" s="22"/>
      <c r="F383" s="22"/>
      <c r="H383" s="22"/>
      <c r="K383" s="22"/>
      <c r="L383" t="str">
        <f t="shared" ca="1" si="5"/>
        <v/>
      </c>
    </row>
    <row r="384" spans="4:12" x14ac:dyDescent="0.25">
      <c r="D384" s="22"/>
      <c r="F384" s="22"/>
      <c r="H384" s="22"/>
      <c r="K384" s="22"/>
      <c r="L384" t="str">
        <f t="shared" ca="1" si="5"/>
        <v/>
      </c>
    </row>
    <row r="385" spans="4:12" x14ac:dyDescent="0.25">
      <c r="D385" s="22"/>
      <c r="F385" s="22"/>
      <c r="H385" s="22"/>
      <c r="K385" s="22"/>
      <c r="L385" t="str">
        <f t="shared" ca="1" si="5"/>
        <v/>
      </c>
    </row>
    <row r="386" spans="4:12" x14ac:dyDescent="0.25">
      <c r="D386" s="22"/>
      <c r="F386" s="22"/>
      <c r="H386" s="22"/>
      <c r="K386" s="22"/>
      <c r="L386" t="str">
        <f t="shared" ref="L386:L449" ca="1" si="6">IF(A386="","",IF(OR(E386="Contratado",E386="Descartado",E386="Retirado",G386="No Contesta (Intento 3 - Final)",G386="Datos Erróneos"),"Cerrado",IF(K386="","Sin Fecha Programada",IF(K386&lt;TODAY(),"VENCIDO",IF(K386=TODAY(),"HOY","En Plazo")))))</f>
        <v/>
      </c>
    </row>
    <row r="387" spans="4:12" x14ac:dyDescent="0.25">
      <c r="D387" s="22"/>
      <c r="F387" s="22"/>
      <c r="H387" s="22"/>
      <c r="K387" s="22"/>
      <c r="L387" t="str">
        <f t="shared" ca="1" si="6"/>
        <v/>
      </c>
    </row>
    <row r="388" spans="4:12" x14ac:dyDescent="0.25">
      <c r="D388" s="22"/>
      <c r="F388" s="22"/>
      <c r="H388" s="22"/>
      <c r="K388" s="22"/>
      <c r="L388" t="str">
        <f t="shared" ca="1" si="6"/>
        <v/>
      </c>
    </row>
    <row r="389" spans="4:12" x14ac:dyDescent="0.25">
      <c r="D389" s="22"/>
      <c r="F389" s="22"/>
      <c r="H389" s="22"/>
      <c r="K389" s="22"/>
      <c r="L389" t="str">
        <f t="shared" ca="1" si="6"/>
        <v/>
      </c>
    </row>
    <row r="390" spans="4:12" x14ac:dyDescent="0.25">
      <c r="D390" s="22"/>
      <c r="F390" s="22"/>
      <c r="H390" s="22"/>
      <c r="K390" s="22"/>
      <c r="L390" t="str">
        <f t="shared" ca="1" si="6"/>
        <v/>
      </c>
    </row>
    <row r="391" spans="4:12" x14ac:dyDescent="0.25">
      <c r="D391" s="22"/>
      <c r="F391" s="22"/>
      <c r="H391" s="22"/>
      <c r="K391" s="22"/>
      <c r="L391" t="str">
        <f t="shared" ca="1" si="6"/>
        <v/>
      </c>
    </row>
    <row r="392" spans="4:12" x14ac:dyDescent="0.25">
      <c r="D392" s="22"/>
      <c r="F392" s="22"/>
      <c r="H392" s="22"/>
      <c r="K392" s="22"/>
      <c r="L392" t="str">
        <f t="shared" ca="1" si="6"/>
        <v/>
      </c>
    </row>
    <row r="393" spans="4:12" x14ac:dyDescent="0.25">
      <c r="D393" s="22"/>
      <c r="F393" s="22"/>
      <c r="H393" s="22"/>
      <c r="K393" s="22"/>
      <c r="L393" t="str">
        <f t="shared" ca="1" si="6"/>
        <v/>
      </c>
    </row>
    <row r="394" spans="4:12" x14ac:dyDescent="0.25">
      <c r="D394" s="22"/>
      <c r="F394" s="22"/>
      <c r="H394" s="22"/>
      <c r="K394" s="22"/>
      <c r="L394" t="str">
        <f t="shared" ca="1" si="6"/>
        <v/>
      </c>
    </row>
    <row r="395" spans="4:12" x14ac:dyDescent="0.25">
      <c r="D395" s="22"/>
      <c r="F395" s="22"/>
      <c r="H395" s="22"/>
      <c r="K395" s="22"/>
      <c r="L395" t="str">
        <f t="shared" ca="1" si="6"/>
        <v/>
      </c>
    </row>
    <row r="396" spans="4:12" x14ac:dyDescent="0.25">
      <c r="D396" s="22"/>
      <c r="F396" s="22"/>
      <c r="H396" s="22"/>
      <c r="K396" s="22"/>
      <c r="L396" t="str">
        <f t="shared" ca="1" si="6"/>
        <v/>
      </c>
    </row>
    <row r="397" spans="4:12" x14ac:dyDescent="0.25">
      <c r="D397" s="22"/>
      <c r="F397" s="22"/>
      <c r="H397" s="22"/>
      <c r="K397" s="22"/>
      <c r="L397" t="str">
        <f t="shared" ca="1" si="6"/>
        <v/>
      </c>
    </row>
    <row r="398" spans="4:12" x14ac:dyDescent="0.25">
      <c r="D398" s="22"/>
      <c r="F398" s="22"/>
      <c r="H398" s="22"/>
      <c r="K398" s="22"/>
      <c r="L398" t="str">
        <f t="shared" ca="1" si="6"/>
        <v/>
      </c>
    </row>
    <row r="399" spans="4:12" x14ac:dyDescent="0.25">
      <c r="D399" s="22"/>
      <c r="F399" s="22"/>
      <c r="H399" s="22"/>
      <c r="K399" s="22"/>
      <c r="L399" t="str">
        <f t="shared" ca="1" si="6"/>
        <v/>
      </c>
    </row>
    <row r="400" spans="4:12" x14ac:dyDescent="0.25">
      <c r="D400" s="22"/>
      <c r="F400" s="22"/>
      <c r="H400" s="22"/>
      <c r="K400" s="22"/>
      <c r="L400" t="str">
        <f t="shared" ca="1" si="6"/>
        <v/>
      </c>
    </row>
    <row r="401" spans="4:12" x14ac:dyDescent="0.25">
      <c r="D401" s="22"/>
      <c r="F401" s="22"/>
      <c r="H401" s="22"/>
      <c r="K401" s="22"/>
      <c r="L401" t="str">
        <f t="shared" ca="1" si="6"/>
        <v/>
      </c>
    </row>
    <row r="402" spans="4:12" x14ac:dyDescent="0.25">
      <c r="D402" s="22"/>
      <c r="F402" s="22"/>
      <c r="H402" s="22"/>
      <c r="K402" s="22"/>
      <c r="L402" t="str">
        <f t="shared" ca="1" si="6"/>
        <v/>
      </c>
    </row>
    <row r="403" spans="4:12" x14ac:dyDescent="0.25">
      <c r="D403" s="22"/>
      <c r="F403" s="22"/>
      <c r="H403" s="22"/>
      <c r="K403" s="22"/>
      <c r="L403" t="str">
        <f t="shared" ca="1" si="6"/>
        <v/>
      </c>
    </row>
    <row r="404" spans="4:12" x14ac:dyDescent="0.25">
      <c r="D404" s="22"/>
      <c r="F404" s="22"/>
      <c r="H404" s="22"/>
      <c r="K404" s="22"/>
      <c r="L404" t="str">
        <f t="shared" ca="1" si="6"/>
        <v/>
      </c>
    </row>
    <row r="405" spans="4:12" x14ac:dyDescent="0.25">
      <c r="D405" s="22"/>
      <c r="F405" s="22"/>
      <c r="H405" s="22"/>
      <c r="K405" s="22"/>
      <c r="L405" t="str">
        <f t="shared" ca="1" si="6"/>
        <v/>
      </c>
    </row>
    <row r="406" spans="4:12" x14ac:dyDescent="0.25">
      <c r="D406" s="22"/>
      <c r="F406" s="22"/>
      <c r="H406" s="22"/>
      <c r="K406" s="22"/>
      <c r="L406" t="str">
        <f t="shared" ca="1" si="6"/>
        <v/>
      </c>
    </row>
    <row r="407" spans="4:12" x14ac:dyDescent="0.25">
      <c r="D407" s="22"/>
      <c r="F407" s="22"/>
      <c r="H407" s="22"/>
      <c r="K407" s="22"/>
      <c r="L407" t="str">
        <f t="shared" ca="1" si="6"/>
        <v/>
      </c>
    </row>
    <row r="408" spans="4:12" x14ac:dyDescent="0.25">
      <c r="D408" s="22"/>
      <c r="F408" s="22"/>
      <c r="H408" s="22"/>
      <c r="K408" s="22"/>
      <c r="L408" t="str">
        <f t="shared" ca="1" si="6"/>
        <v/>
      </c>
    </row>
    <row r="409" spans="4:12" x14ac:dyDescent="0.25">
      <c r="D409" s="22"/>
      <c r="F409" s="22"/>
      <c r="H409" s="22"/>
      <c r="K409" s="22"/>
      <c r="L409" t="str">
        <f t="shared" ca="1" si="6"/>
        <v/>
      </c>
    </row>
    <row r="410" spans="4:12" x14ac:dyDescent="0.25">
      <c r="D410" s="22"/>
      <c r="F410" s="22"/>
      <c r="H410" s="22"/>
      <c r="K410" s="22"/>
      <c r="L410" t="str">
        <f t="shared" ca="1" si="6"/>
        <v/>
      </c>
    </row>
    <row r="411" spans="4:12" x14ac:dyDescent="0.25">
      <c r="D411" s="22"/>
      <c r="F411" s="22"/>
      <c r="H411" s="22"/>
      <c r="K411" s="22"/>
      <c r="L411" t="str">
        <f t="shared" ca="1" si="6"/>
        <v/>
      </c>
    </row>
    <row r="412" spans="4:12" x14ac:dyDescent="0.25">
      <c r="D412" s="22"/>
      <c r="F412" s="22"/>
      <c r="H412" s="22"/>
      <c r="K412" s="22"/>
      <c r="L412" t="str">
        <f t="shared" ca="1" si="6"/>
        <v/>
      </c>
    </row>
    <row r="413" spans="4:12" x14ac:dyDescent="0.25">
      <c r="D413" s="22"/>
      <c r="F413" s="22"/>
      <c r="H413" s="22"/>
      <c r="K413" s="22"/>
      <c r="L413" t="str">
        <f t="shared" ca="1" si="6"/>
        <v/>
      </c>
    </row>
    <row r="414" spans="4:12" x14ac:dyDescent="0.25">
      <c r="D414" s="22"/>
      <c r="F414" s="22"/>
      <c r="H414" s="22"/>
      <c r="K414" s="22"/>
      <c r="L414" t="str">
        <f t="shared" ca="1" si="6"/>
        <v/>
      </c>
    </row>
    <row r="415" spans="4:12" x14ac:dyDescent="0.25">
      <c r="D415" s="22"/>
      <c r="F415" s="22"/>
      <c r="H415" s="22"/>
      <c r="K415" s="22"/>
      <c r="L415" t="str">
        <f t="shared" ca="1" si="6"/>
        <v/>
      </c>
    </row>
    <row r="416" spans="4:12" x14ac:dyDescent="0.25">
      <c r="D416" s="22"/>
      <c r="F416" s="22"/>
      <c r="H416" s="22"/>
      <c r="K416" s="22"/>
      <c r="L416" t="str">
        <f t="shared" ca="1" si="6"/>
        <v/>
      </c>
    </row>
    <row r="417" spans="4:12" x14ac:dyDescent="0.25">
      <c r="D417" s="22"/>
      <c r="F417" s="22"/>
      <c r="H417" s="22"/>
      <c r="K417" s="22"/>
      <c r="L417" t="str">
        <f t="shared" ca="1" si="6"/>
        <v/>
      </c>
    </row>
    <row r="418" spans="4:12" x14ac:dyDescent="0.25">
      <c r="D418" s="22"/>
      <c r="F418" s="22"/>
      <c r="H418" s="22"/>
      <c r="K418" s="22"/>
      <c r="L418" t="str">
        <f t="shared" ca="1" si="6"/>
        <v/>
      </c>
    </row>
    <row r="419" spans="4:12" x14ac:dyDescent="0.25">
      <c r="D419" s="22"/>
      <c r="F419" s="22"/>
      <c r="H419" s="22"/>
      <c r="K419" s="22"/>
      <c r="L419" t="str">
        <f t="shared" ca="1" si="6"/>
        <v/>
      </c>
    </row>
    <row r="420" spans="4:12" x14ac:dyDescent="0.25">
      <c r="D420" s="22"/>
      <c r="F420" s="22"/>
      <c r="H420" s="22"/>
      <c r="K420" s="22"/>
      <c r="L420" t="str">
        <f t="shared" ca="1" si="6"/>
        <v/>
      </c>
    </row>
    <row r="421" spans="4:12" x14ac:dyDescent="0.25">
      <c r="D421" s="22"/>
      <c r="F421" s="22"/>
      <c r="H421" s="22"/>
      <c r="K421" s="22"/>
      <c r="L421" t="str">
        <f t="shared" ca="1" si="6"/>
        <v/>
      </c>
    </row>
    <row r="422" spans="4:12" x14ac:dyDescent="0.25">
      <c r="D422" s="22"/>
      <c r="F422" s="22"/>
      <c r="H422" s="22"/>
      <c r="K422" s="22"/>
      <c r="L422" t="str">
        <f t="shared" ca="1" si="6"/>
        <v/>
      </c>
    </row>
    <row r="423" spans="4:12" x14ac:dyDescent="0.25">
      <c r="D423" s="22"/>
      <c r="F423" s="22"/>
      <c r="H423" s="22"/>
      <c r="K423" s="22"/>
      <c r="L423" t="str">
        <f t="shared" ca="1" si="6"/>
        <v/>
      </c>
    </row>
    <row r="424" spans="4:12" x14ac:dyDescent="0.25">
      <c r="D424" s="22"/>
      <c r="F424" s="22"/>
      <c r="H424" s="22"/>
      <c r="K424" s="22"/>
      <c r="L424" t="str">
        <f t="shared" ca="1" si="6"/>
        <v/>
      </c>
    </row>
    <row r="425" spans="4:12" x14ac:dyDescent="0.25">
      <c r="D425" s="22"/>
      <c r="F425" s="22"/>
      <c r="H425" s="22"/>
      <c r="K425" s="22"/>
      <c r="L425" t="str">
        <f t="shared" ca="1" si="6"/>
        <v/>
      </c>
    </row>
    <row r="426" spans="4:12" x14ac:dyDescent="0.25">
      <c r="D426" s="22"/>
      <c r="F426" s="22"/>
      <c r="H426" s="22"/>
      <c r="K426" s="22"/>
      <c r="L426" t="str">
        <f t="shared" ca="1" si="6"/>
        <v/>
      </c>
    </row>
    <row r="427" spans="4:12" x14ac:dyDescent="0.25">
      <c r="D427" s="22"/>
      <c r="F427" s="22"/>
      <c r="H427" s="22"/>
      <c r="K427" s="22"/>
      <c r="L427" t="str">
        <f t="shared" ca="1" si="6"/>
        <v/>
      </c>
    </row>
    <row r="428" spans="4:12" x14ac:dyDescent="0.25">
      <c r="D428" s="22"/>
      <c r="F428" s="22"/>
      <c r="H428" s="22"/>
      <c r="K428" s="22"/>
      <c r="L428" t="str">
        <f t="shared" ca="1" si="6"/>
        <v/>
      </c>
    </row>
    <row r="429" spans="4:12" x14ac:dyDescent="0.25">
      <c r="D429" s="22"/>
      <c r="F429" s="22"/>
      <c r="H429" s="22"/>
      <c r="K429" s="22"/>
      <c r="L429" t="str">
        <f t="shared" ca="1" si="6"/>
        <v/>
      </c>
    </row>
    <row r="430" spans="4:12" x14ac:dyDescent="0.25">
      <c r="D430" s="22"/>
      <c r="F430" s="22"/>
      <c r="H430" s="22"/>
      <c r="K430" s="22"/>
      <c r="L430" t="str">
        <f t="shared" ca="1" si="6"/>
        <v/>
      </c>
    </row>
    <row r="431" spans="4:12" x14ac:dyDescent="0.25">
      <c r="D431" s="22"/>
      <c r="F431" s="22"/>
      <c r="H431" s="22"/>
      <c r="K431" s="22"/>
      <c r="L431" t="str">
        <f t="shared" ca="1" si="6"/>
        <v/>
      </c>
    </row>
    <row r="432" spans="4:12" x14ac:dyDescent="0.25">
      <c r="D432" s="22"/>
      <c r="F432" s="22"/>
      <c r="H432" s="22"/>
      <c r="K432" s="22"/>
      <c r="L432" t="str">
        <f t="shared" ca="1" si="6"/>
        <v/>
      </c>
    </row>
    <row r="433" spans="4:12" x14ac:dyDescent="0.25">
      <c r="D433" s="22"/>
      <c r="F433" s="22"/>
      <c r="H433" s="22"/>
      <c r="K433" s="22"/>
      <c r="L433" t="str">
        <f t="shared" ca="1" si="6"/>
        <v/>
      </c>
    </row>
    <row r="434" spans="4:12" x14ac:dyDescent="0.25">
      <c r="D434" s="22"/>
      <c r="F434" s="22"/>
      <c r="H434" s="22"/>
      <c r="K434" s="22"/>
      <c r="L434" t="str">
        <f t="shared" ca="1" si="6"/>
        <v/>
      </c>
    </row>
    <row r="435" spans="4:12" x14ac:dyDescent="0.25">
      <c r="D435" s="22"/>
      <c r="F435" s="22"/>
      <c r="H435" s="22"/>
      <c r="K435" s="22"/>
      <c r="L435" t="str">
        <f t="shared" ca="1" si="6"/>
        <v/>
      </c>
    </row>
    <row r="436" spans="4:12" x14ac:dyDescent="0.25">
      <c r="D436" s="22"/>
      <c r="F436" s="22"/>
      <c r="H436" s="22"/>
      <c r="K436" s="22"/>
      <c r="L436" t="str">
        <f t="shared" ca="1" si="6"/>
        <v/>
      </c>
    </row>
    <row r="437" spans="4:12" x14ac:dyDescent="0.25">
      <c r="D437" s="22"/>
      <c r="F437" s="22"/>
      <c r="H437" s="22"/>
      <c r="K437" s="22"/>
      <c r="L437" t="str">
        <f t="shared" ca="1" si="6"/>
        <v/>
      </c>
    </row>
    <row r="438" spans="4:12" x14ac:dyDescent="0.25">
      <c r="D438" s="22"/>
      <c r="F438" s="22"/>
      <c r="H438" s="22"/>
      <c r="K438" s="22"/>
      <c r="L438" t="str">
        <f t="shared" ca="1" si="6"/>
        <v/>
      </c>
    </row>
    <row r="439" spans="4:12" x14ac:dyDescent="0.25">
      <c r="D439" s="22"/>
      <c r="F439" s="22"/>
      <c r="H439" s="22"/>
      <c r="K439" s="22"/>
      <c r="L439" t="str">
        <f t="shared" ca="1" si="6"/>
        <v/>
      </c>
    </row>
    <row r="440" spans="4:12" x14ac:dyDescent="0.25">
      <c r="D440" s="22"/>
      <c r="F440" s="22"/>
      <c r="H440" s="22"/>
      <c r="K440" s="22"/>
      <c r="L440" t="str">
        <f t="shared" ca="1" si="6"/>
        <v/>
      </c>
    </row>
    <row r="441" spans="4:12" x14ac:dyDescent="0.25">
      <c r="D441" s="22"/>
      <c r="F441" s="22"/>
      <c r="H441" s="22"/>
      <c r="K441" s="22"/>
      <c r="L441" t="str">
        <f t="shared" ca="1" si="6"/>
        <v/>
      </c>
    </row>
    <row r="442" spans="4:12" x14ac:dyDescent="0.25">
      <c r="D442" s="22"/>
      <c r="F442" s="22"/>
      <c r="H442" s="22"/>
      <c r="K442" s="22"/>
      <c r="L442" t="str">
        <f t="shared" ca="1" si="6"/>
        <v/>
      </c>
    </row>
    <row r="443" spans="4:12" x14ac:dyDescent="0.25">
      <c r="D443" s="22"/>
      <c r="F443" s="22"/>
      <c r="H443" s="22"/>
      <c r="K443" s="22"/>
      <c r="L443" t="str">
        <f t="shared" ca="1" si="6"/>
        <v/>
      </c>
    </row>
    <row r="444" spans="4:12" x14ac:dyDescent="0.25">
      <c r="D444" s="22"/>
      <c r="F444" s="22"/>
      <c r="H444" s="22"/>
      <c r="K444" s="22"/>
      <c r="L444" t="str">
        <f t="shared" ca="1" si="6"/>
        <v/>
      </c>
    </row>
    <row r="445" spans="4:12" x14ac:dyDescent="0.25">
      <c r="D445" s="22"/>
      <c r="F445" s="22"/>
      <c r="H445" s="22"/>
      <c r="K445" s="22"/>
      <c r="L445" t="str">
        <f t="shared" ca="1" si="6"/>
        <v/>
      </c>
    </row>
    <row r="446" spans="4:12" x14ac:dyDescent="0.25">
      <c r="D446" s="22"/>
      <c r="F446" s="22"/>
      <c r="H446" s="22"/>
      <c r="K446" s="22"/>
      <c r="L446" t="str">
        <f t="shared" ca="1" si="6"/>
        <v/>
      </c>
    </row>
    <row r="447" spans="4:12" x14ac:dyDescent="0.25">
      <c r="D447" s="22"/>
      <c r="F447" s="22"/>
      <c r="H447" s="22"/>
      <c r="K447" s="22"/>
      <c r="L447" t="str">
        <f t="shared" ca="1" si="6"/>
        <v/>
      </c>
    </row>
    <row r="448" spans="4:12" x14ac:dyDescent="0.25">
      <c r="D448" s="22"/>
      <c r="F448" s="22"/>
      <c r="H448" s="22"/>
      <c r="K448" s="22"/>
      <c r="L448" t="str">
        <f t="shared" ca="1" si="6"/>
        <v/>
      </c>
    </row>
    <row r="449" spans="4:12" x14ac:dyDescent="0.25">
      <c r="D449" s="22"/>
      <c r="F449" s="22"/>
      <c r="H449" s="22"/>
      <c r="K449" s="22"/>
      <c r="L449" t="str">
        <f t="shared" ca="1" si="6"/>
        <v/>
      </c>
    </row>
    <row r="450" spans="4:12" x14ac:dyDescent="0.25">
      <c r="D450" s="22"/>
      <c r="F450" s="22"/>
      <c r="H450" s="22"/>
      <c r="K450" s="22"/>
      <c r="L450" t="str">
        <f t="shared" ref="L450:L513" ca="1" si="7">IF(A450="","",IF(OR(E450="Contratado",E450="Descartado",E450="Retirado",G450="No Contesta (Intento 3 - Final)",G450="Datos Erróneos"),"Cerrado",IF(K450="","Sin Fecha Programada",IF(K450&lt;TODAY(),"VENCIDO",IF(K450=TODAY(),"HOY","En Plazo")))))</f>
        <v/>
      </c>
    </row>
    <row r="451" spans="4:12" x14ac:dyDescent="0.25">
      <c r="D451" s="22"/>
      <c r="F451" s="22"/>
      <c r="H451" s="22"/>
      <c r="K451" s="22"/>
      <c r="L451" t="str">
        <f t="shared" ca="1" si="7"/>
        <v/>
      </c>
    </row>
    <row r="452" spans="4:12" x14ac:dyDescent="0.25">
      <c r="D452" s="22"/>
      <c r="F452" s="22"/>
      <c r="H452" s="22"/>
      <c r="K452" s="22"/>
      <c r="L452" t="str">
        <f t="shared" ca="1" si="7"/>
        <v/>
      </c>
    </row>
    <row r="453" spans="4:12" x14ac:dyDescent="0.25">
      <c r="D453" s="22"/>
      <c r="F453" s="22"/>
      <c r="H453" s="22"/>
      <c r="K453" s="22"/>
      <c r="L453" t="str">
        <f t="shared" ca="1" si="7"/>
        <v/>
      </c>
    </row>
    <row r="454" spans="4:12" x14ac:dyDescent="0.25">
      <c r="D454" s="22"/>
      <c r="F454" s="22"/>
      <c r="H454" s="22"/>
      <c r="K454" s="22"/>
      <c r="L454" t="str">
        <f t="shared" ca="1" si="7"/>
        <v/>
      </c>
    </row>
    <row r="455" spans="4:12" x14ac:dyDescent="0.25">
      <c r="D455" s="22"/>
      <c r="F455" s="22"/>
      <c r="H455" s="22"/>
      <c r="K455" s="22"/>
      <c r="L455" t="str">
        <f t="shared" ca="1" si="7"/>
        <v/>
      </c>
    </row>
    <row r="456" spans="4:12" x14ac:dyDescent="0.25">
      <c r="D456" s="22"/>
      <c r="F456" s="22"/>
      <c r="H456" s="22"/>
      <c r="K456" s="22"/>
      <c r="L456" t="str">
        <f t="shared" ca="1" si="7"/>
        <v/>
      </c>
    </row>
    <row r="457" spans="4:12" x14ac:dyDescent="0.25">
      <c r="D457" s="22"/>
      <c r="F457" s="22"/>
      <c r="H457" s="22"/>
      <c r="K457" s="22"/>
      <c r="L457" t="str">
        <f t="shared" ca="1" si="7"/>
        <v/>
      </c>
    </row>
    <row r="458" spans="4:12" x14ac:dyDescent="0.25">
      <c r="D458" s="22"/>
      <c r="F458" s="22"/>
      <c r="H458" s="22"/>
      <c r="K458" s="22"/>
      <c r="L458" t="str">
        <f t="shared" ca="1" si="7"/>
        <v/>
      </c>
    </row>
    <row r="459" spans="4:12" x14ac:dyDescent="0.25">
      <c r="D459" s="22"/>
      <c r="F459" s="22"/>
      <c r="H459" s="22"/>
      <c r="K459" s="22"/>
      <c r="L459" t="str">
        <f t="shared" ca="1" si="7"/>
        <v/>
      </c>
    </row>
    <row r="460" spans="4:12" x14ac:dyDescent="0.25">
      <c r="D460" s="22"/>
      <c r="F460" s="22"/>
      <c r="H460" s="22"/>
      <c r="K460" s="22"/>
      <c r="L460" t="str">
        <f t="shared" ca="1" si="7"/>
        <v/>
      </c>
    </row>
    <row r="461" spans="4:12" x14ac:dyDescent="0.25">
      <c r="D461" s="22"/>
      <c r="F461" s="22"/>
      <c r="H461" s="22"/>
      <c r="K461" s="22"/>
      <c r="L461" t="str">
        <f t="shared" ca="1" si="7"/>
        <v/>
      </c>
    </row>
    <row r="462" spans="4:12" x14ac:dyDescent="0.25">
      <c r="D462" s="22"/>
      <c r="F462" s="22"/>
      <c r="H462" s="22"/>
      <c r="K462" s="22"/>
      <c r="L462" t="str">
        <f t="shared" ca="1" si="7"/>
        <v/>
      </c>
    </row>
    <row r="463" spans="4:12" x14ac:dyDescent="0.25">
      <c r="D463" s="22"/>
      <c r="F463" s="22"/>
      <c r="H463" s="22"/>
      <c r="K463" s="22"/>
      <c r="L463" t="str">
        <f t="shared" ca="1" si="7"/>
        <v/>
      </c>
    </row>
    <row r="464" spans="4:12" x14ac:dyDescent="0.25">
      <c r="D464" s="22"/>
      <c r="F464" s="22"/>
      <c r="H464" s="22"/>
      <c r="K464" s="22"/>
      <c r="L464" t="str">
        <f t="shared" ca="1" si="7"/>
        <v/>
      </c>
    </row>
    <row r="465" spans="4:12" x14ac:dyDescent="0.25">
      <c r="D465" s="22"/>
      <c r="F465" s="22"/>
      <c r="H465" s="22"/>
      <c r="K465" s="22"/>
      <c r="L465" t="str">
        <f t="shared" ca="1" si="7"/>
        <v/>
      </c>
    </row>
    <row r="466" spans="4:12" x14ac:dyDescent="0.25">
      <c r="D466" s="22"/>
      <c r="F466" s="22"/>
      <c r="H466" s="22"/>
      <c r="K466" s="22"/>
      <c r="L466" t="str">
        <f t="shared" ca="1" si="7"/>
        <v/>
      </c>
    </row>
    <row r="467" spans="4:12" x14ac:dyDescent="0.25">
      <c r="D467" s="22"/>
      <c r="F467" s="22"/>
      <c r="H467" s="22"/>
      <c r="K467" s="22"/>
      <c r="L467" t="str">
        <f t="shared" ca="1" si="7"/>
        <v/>
      </c>
    </row>
    <row r="468" spans="4:12" x14ac:dyDescent="0.25">
      <c r="D468" s="22"/>
      <c r="F468" s="22"/>
      <c r="H468" s="22"/>
      <c r="K468" s="22"/>
      <c r="L468" t="str">
        <f t="shared" ca="1" si="7"/>
        <v/>
      </c>
    </row>
    <row r="469" spans="4:12" x14ac:dyDescent="0.25">
      <c r="D469" s="22"/>
      <c r="F469" s="22"/>
      <c r="H469" s="22"/>
      <c r="K469" s="22"/>
      <c r="L469" t="str">
        <f t="shared" ca="1" si="7"/>
        <v/>
      </c>
    </row>
    <row r="470" spans="4:12" x14ac:dyDescent="0.25">
      <c r="D470" s="22"/>
      <c r="F470" s="22"/>
      <c r="H470" s="22"/>
      <c r="K470" s="22"/>
      <c r="L470" t="str">
        <f t="shared" ca="1" si="7"/>
        <v/>
      </c>
    </row>
    <row r="471" spans="4:12" x14ac:dyDescent="0.25">
      <c r="D471" s="22"/>
      <c r="F471" s="22"/>
      <c r="H471" s="22"/>
      <c r="K471" s="22"/>
      <c r="L471" t="str">
        <f t="shared" ca="1" si="7"/>
        <v/>
      </c>
    </row>
    <row r="472" spans="4:12" x14ac:dyDescent="0.25">
      <c r="D472" s="22"/>
      <c r="F472" s="22"/>
      <c r="H472" s="22"/>
      <c r="K472" s="22"/>
      <c r="L472" t="str">
        <f t="shared" ca="1" si="7"/>
        <v/>
      </c>
    </row>
    <row r="473" spans="4:12" x14ac:dyDescent="0.25">
      <c r="D473" s="22"/>
      <c r="F473" s="22"/>
      <c r="H473" s="22"/>
      <c r="K473" s="22"/>
      <c r="L473" t="str">
        <f t="shared" ca="1" si="7"/>
        <v/>
      </c>
    </row>
    <row r="474" spans="4:12" x14ac:dyDescent="0.25">
      <c r="D474" s="22"/>
      <c r="F474" s="22"/>
      <c r="H474" s="22"/>
      <c r="K474" s="22"/>
      <c r="L474" t="str">
        <f t="shared" ca="1" si="7"/>
        <v/>
      </c>
    </row>
    <row r="475" spans="4:12" x14ac:dyDescent="0.25">
      <c r="D475" s="22"/>
      <c r="F475" s="22"/>
      <c r="H475" s="22"/>
      <c r="K475" s="22"/>
      <c r="L475" t="str">
        <f t="shared" ca="1" si="7"/>
        <v/>
      </c>
    </row>
    <row r="476" spans="4:12" x14ac:dyDescent="0.25">
      <c r="D476" s="22"/>
      <c r="F476" s="22"/>
      <c r="H476" s="22"/>
      <c r="K476" s="22"/>
      <c r="L476" t="str">
        <f t="shared" ca="1" si="7"/>
        <v/>
      </c>
    </row>
    <row r="477" spans="4:12" x14ac:dyDescent="0.25">
      <c r="D477" s="22"/>
      <c r="F477" s="22"/>
      <c r="H477" s="22"/>
      <c r="K477" s="22"/>
      <c r="L477" t="str">
        <f t="shared" ca="1" si="7"/>
        <v/>
      </c>
    </row>
    <row r="478" spans="4:12" x14ac:dyDescent="0.25">
      <c r="D478" s="22"/>
      <c r="F478" s="22"/>
      <c r="H478" s="22"/>
      <c r="K478" s="22"/>
      <c r="L478" t="str">
        <f t="shared" ca="1" si="7"/>
        <v/>
      </c>
    </row>
    <row r="479" spans="4:12" x14ac:dyDescent="0.25">
      <c r="D479" s="22"/>
      <c r="F479" s="22"/>
      <c r="H479" s="22"/>
      <c r="K479" s="22"/>
      <c r="L479" t="str">
        <f t="shared" ca="1" si="7"/>
        <v/>
      </c>
    </row>
    <row r="480" spans="4:12" x14ac:dyDescent="0.25">
      <c r="D480" s="22"/>
      <c r="F480" s="22"/>
      <c r="H480" s="22"/>
      <c r="K480" s="22"/>
      <c r="L480" t="str">
        <f t="shared" ca="1" si="7"/>
        <v/>
      </c>
    </row>
    <row r="481" spans="4:12" x14ac:dyDescent="0.25">
      <c r="D481" s="22"/>
      <c r="F481" s="22"/>
      <c r="H481" s="22"/>
      <c r="K481" s="22"/>
      <c r="L481" t="str">
        <f t="shared" ca="1" si="7"/>
        <v/>
      </c>
    </row>
    <row r="482" spans="4:12" x14ac:dyDescent="0.25">
      <c r="D482" s="22"/>
      <c r="F482" s="22"/>
      <c r="H482" s="22"/>
      <c r="K482" s="22"/>
      <c r="L482" t="str">
        <f t="shared" ca="1" si="7"/>
        <v/>
      </c>
    </row>
    <row r="483" spans="4:12" x14ac:dyDescent="0.25">
      <c r="D483" s="22"/>
      <c r="F483" s="22"/>
      <c r="H483" s="22"/>
      <c r="K483" s="22"/>
      <c r="L483" t="str">
        <f t="shared" ca="1" si="7"/>
        <v/>
      </c>
    </row>
    <row r="484" spans="4:12" x14ac:dyDescent="0.25">
      <c r="D484" s="22"/>
      <c r="F484" s="22"/>
      <c r="H484" s="22"/>
      <c r="K484" s="22"/>
      <c r="L484" t="str">
        <f t="shared" ca="1" si="7"/>
        <v/>
      </c>
    </row>
    <row r="485" spans="4:12" x14ac:dyDescent="0.25">
      <c r="D485" s="22"/>
      <c r="F485" s="22"/>
      <c r="H485" s="22"/>
      <c r="K485" s="22"/>
      <c r="L485" t="str">
        <f t="shared" ca="1" si="7"/>
        <v/>
      </c>
    </row>
    <row r="486" spans="4:12" x14ac:dyDescent="0.25">
      <c r="D486" s="22"/>
      <c r="F486" s="22"/>
      <c r="H486" s="22"/>
      <c r="K486" s="22"/>
      <c r="L486" t="str">
        <f t="shared" ca="1" si="7"/>
        <v/>
      </c>
    </row>
    <row r="487" spans="4:12" x14ac:dyDescent="0.25">
      <c r="D487" s="22"/>
      <c r="F487" s="22"/>
      <c r="H487" s="22"/>
      <c r="K487" s="22"/>
      <c r="L487" t="str">
        <f t="shared" ca="1" si="7"/>
        <v/>
      </c>
    </row>
    <row r="488" spans="4:12" x14ac:dyDescent="0.25">
      <c r="D488" s="22"/>
      <c r="F488" s="22"/>
      <c r="H488" s="22"/>
      <c r="K488" s="22"/>
      <c r="L488" t="str">
        <f t="shared" ca="1" si="7"/>
        <v/>
      </c>
    </row>
    <row r="489" spans="4:12" x14ac:dyDescent="0.25">
      <c r="D489" s="22"/>
      <c r="F489" s="22"/>
      <c r="H489" s="22"/>
      <c r="K489" s="22"/>
      <c r="L489" t="str">
        <f t="shared" ca="1" si="7"/>
        <v/>
      </c>
    </row>
    <row r="490" spans="4:12" x14ac:dyDescent="0.25">
      <c r="D490" s="22"/>
      <c r="F490" s="22"/>
      <c r="H490" s="22"/>
      <c r="K490" s="22"/>
      <c r="L490" t="str">
        <f t="shared" ca="1" si="7"/>
        <v/>
      </c>
    </row>
    <row r="491" spans="4:12" x14ac:dyDescent="0.25">
      <c r="D491" s="22"/>
      <c r="F491" s="22"/>
      <c r="H491" s="22"/>
      <c r="K491" s="22"/>
      <c r="L491" t="str">
        <f t="shared" ca="1" si="7"/>
        <v/>
      </c>
    </row>
    <row r="492" spans="4:12" x14ac:dyDescent="0.25">
      <c r="D492" s="22"/>
      <c r="F492" s="22"/>
      <c r="H492" s="22"/>
      <c r="K492" s="22"/>
      <c r="L492" t="str">
        <f t="shared" ca="1" si="7"/>
        <v/>
      </c>
    </row>
    <row r="493" spans="4:12" x14ac:dyDescent="0.25">
      <c r="D493" s="22"/>
      <c r="F493" s="22"/>
      <c r="H493" s="22"/>
      <c r="K493" s="22"/>
      <c r="L493" t="str">
        <f t="shared" ca="1" si="7"/>
        <v/>
      </c>
    </row>
    <row r="494" spans="4:12" x14ac:dyDescent="0.25">
      <c r="D494" s="22"/>
      <c r="F494" s="22"/>
      <c r="H494" s="22"/>
      <c r="K494" s="22"/>
      <c r="L494" t="str">
        <f t="shared" ca="1" si="7"/>
        <v/>
      </c>
    </row>
    <row r="495" spans="4:12" x14ac:dyDescent="0.25">
      <c r="D495" s="22"/>
      <c r="F495" s="22"/>
      <c r="H495" s="22"/>
      <c r="K495" s="22"/>
      <c r="L495" t="str">
        <f t="shared" ca="1" si="7"/>
        <v/>
      </c>
    </row>
    <row r="496" spans="4:12" x14ac:dyDescent="0.25">
      <c r="D496" s="22"/>
      <c r="F496" s="22"/>
      <c r="H496" s="22"/>
      <c r="K496" s="22"/>
      <c r="L496" t="str">
        <f t="shared" ca="1" si="7"/>
        <v/>
      </c>
    </row>
    <row r="497" spans="4:12" x14ac:dyDescent="0.25">
      <c r="D497" s="22"/>
      <c r="F497" s="22"/>
      <c r="H497" s="22"/>
      <c r="K497" s="22"/>
      <c r="L497" t="str">
        <f t="shared" ca="1" si="7"/>
        <v/>
      </c>
    </row>
    <row r="498" spans="4:12" x14ac:dyDescent="0.25">
      <c r="D498" s="22"/>
      <c r="F498" s="22"/>
      <c r="H498" s="22"/>
      <c r="K498" s="22"/>
      <c r="L498" t="str">
        <f t="shared" ca="1" si="7"/>
        <v/>
      </c>
    </row>
    <row r="499" spans="4:12" x14ac:dyDescent="0.25">
      <c r="D499" s="22"/>
      <c r="F499" s="22"/>
      <c r="H499" s="22"/>
      <c r="K499" s="22"/>
      <c r="L499" t="str">
        <f t="shared" ca="1" si="7"/>
        <v/>
      </c>
    </row>
    <row r="500" spans="4:12" x14ac:dyDescent="0.25">
      <c r="D500" s="22"/>
      <c r="F500" s="22"/>
      <c r="H500" s="22"/>
      <c r="K500" s="22"/>
      <c r="L500" t="str">
        <f t="shared" ca="1" si="7"/>
        <v/>
      </c>
    </row>
    <row r="501" spans="4:12" x14ac:dyDescent="0.25">
      <c r="D501" s="22"/>
      <c r="F501" s="22"/>
      <c r="H501" s="22"/>
      <c r="K501" s="22"/>
      <c r="L501" t="str">
        <f t="shared" ca="1" si="7"/>
        <v/>
      </c>
    </row>
    <row r="502" spans="4:12" x14ac:dyDescent="0.25">
      <c r="D502" s="22"/>
      <c r="F502" s="22"/>
      <c r="H502" s="22"/>
      <c r="K502" s="22"/>
      <c r="L502" t="str">
        <f t="shared" ca="1" si="7"/>
        <v/>
      </c>
    </row>
    <row r="503" spans="4:12" x14ac:dyDescent="0.25">
      <c r="D503" s="22"/>
      <c r="F503" s="22"/>
      <c r="H503" s="22"/>
      <c r="K503" s="22"/>
      <c r="L503" t="str">
        <f t="shared" ca="1" si="7"/>
        <v/>
      </c>
    </row>
    <row r="504" spans="4:12" x14ac:dyDescent="0.25">
      <c r="D504" s="22"/>
      <c r="F504" s="22"/>
      <c r="H504" s="22"/>
      <c r="K504" s="22"/>
      <c r="L504" t="str">
        <f t="shared" ca="1" si="7"/>
        <v/>
      </c>
    </row>
    <row r="505" spans="4:12" x14ac:dyDescent="0.25">
      <c r="D505" s="22"/>
      <c r="F505" s="22"/>
      <c r="H505" s="22"/>
      <c r="K505" s="22"/>
      <c r="L505" t="str">
        <f t="shared" ca="1" si="7"/>
        <v/>
      </c>
    </row>
    <row r="506" spans="4:12" x14ac:dyDescent="0.25">
      <c r="D506" s="22"/>
      <c r="F506" s="22"/>
      <c r="H506" s="22"/>
      <c r="K506" s="22"/>
      <c r="L506" t="str">
        <f t="shared" ca="1" si="7"/>
        <v/>
      </c>
    </row>
    <row r="507" spans="4:12" x14ac:dyDescent="0.25">
      <c r="D507" s="22"/>
      <c r="F507" s="22"/>
      <c r="H507" s="22"/>
      <c r="K507" s="22"/>
      <c r="L507" t="str">
        <f t="shared" ca="1" si="7"/>
        <v/>
      </c>
    </row>
    <row r="508" spans="4:12" x14ac:dyDescent="0.25">
      <c r="D508" s="22"/>
      <c r="F508" s="22"/>
      <c r="H508" s="22"/>
      <c r="K508" s="22"/>
      <c r="L508" t="str">
        <f t="shared" ca="1" si="7"/>
        <v/>
      </c>
    </row>
    <row r="509" spans="4:12" x14ac:dyDescent="0.25">
      <c r="D509" s="22"/>
      <c r="F509" s="22"/>
      <c r="H509" s="22"/>
      <c r="K509" s="22"/>
      <c r="L509" t="str">
        <f t="shared" ca="1" si="7"/>
        <v/>
      </c>
    </row>
    <row r="510" spans="4:12" x14ac:dyDescent="0.25">
      <c r="D510" s="22"/>
      <c r="F510" s="22"/>
      <c r="H510" s="22"/>
      <c r="K510" s="22"/>
      <c r="L510" t="str">
        <f t="shared" ca="1" si="7"/>
        <v/>
      </c>
    </row>
    <row r="511" spans="4:12" x14ac:dyDescent="0.25">
      <c r="D511" s="22"/>
      <c r="F511" s="22"/>
      <c r="H511" s="22"/>
      <c r="K511" s="22"/>
      <c r="L511" t="str">
        <f t="shared" ca="1" si="7"/>
        <v/>
      </c>
    </row>
    <row r="512" spans="4:12" x14ac:dyDescent="0.25">
      <c r="D512" s="22"/>
      <c r="F512" s="22"/>
      <c r="H512" s="22"/>
      <c r="K512" s="22"/>
      <c r="L512" t="str">
        <f t="shared" ca="1" si="7"/>
        <v/>
      </c>
    </row>
    <row r="513" spans="4:12" x14ac:dyDescent="0.25">
      <c r="D513" s="22"/>
      <c r="F513" s="22"/>
      <c r="H513" s="22"/>
      <c r="K513" s="22"/>
      <c r="L513" t="str">
        <f t="shared" ca="1" si="7"/>
        <v/>
      </c>
    </row>
    <row r="514" spans="4:12" x14ac:dyDescent="0.25">
      <c r="D514" s="22"/>
      <c r="F514" s="22"/>
      <c r="H514" s="22"/>
      <c r="K514" s="22"/>
      <c r="L514" t="str">
        <f t="shared" ref="L514:L577" ca="1" si="8">IF(A514="","",IF(OR(E514="Contratado",E514="Descartado",E514="Retirado",G514="No Contesta (Intento 3 - Final)",G514="Datos Erróneos"),"Cerrado",IF(K514="","Sin Fecha Programada",IF(K514&lt;TODAY(),"VENCIDO",IF(K514=TODAY(),"HOY","En Plazo")))))</f>
        <v/>
      </c>
    </row>
    <row r="515" spans="4:12" x14ac:dyDescent="0.25">
      <c r="D515" s="22"/>
      <c r="F515" s="22"/>
      <c r="H515" s="22"/>
      <c r="K515" s="22"/>
      <c r="L515" t="str">
        <f t="shared" ca="1" si="8"/>
        <v/>
      </c>
    </row>
    <row r="516" spans="4:12" x14ac:dyDescent="0.25">
      <c r="D516" s="22"/>
      <c r="F516" s="22"/>
      <c r="H516" s="22"/>
      <c r="K516" s="22"/>
      <c r="L516" t="str">
        <f t="shared" ca="1" si="8"/>
        <v/>
      </c>
    </row>
    <row r="517" spans="4:12" x14ac:dyDescent="0.25">
      <c r="D517" s="22"/>
      <c r="F517" s="22"/>
      <c r="H517" s="22"/>
      <c r="K517" s="22"/>
      <c r="L517" t="str">
        <f t="shared" ca="1" si="8"/>
        <v/>
      </c>
    </row>
    <row r="518" spans="4:12" x14ac:dyDescent="0.25">
      <c r="D518" s="22"/>
      <c r="F518" s="22"/>
      <c r="H518" s="22"/>
      <c r="K518" s="22"/>
      <c r="L518" t="str">
        <f t="shared" ca="1" si="8"/>
        <v/>
      </c>
    </row>
    <row r="519" spans="4:12" x14ac:dyDescent="0.25">
      <c r="D519" s="22"/>
      <c r="F519" s="22"/>
      <c r="H519" s="22"/>
      <c r="K519" s="22"/>
      <c r="L519" t="str">
        <f t="shared" ca="1" si="8"/>
        <v/>
      </c>
    </row>
    <row r="520" spans="4:12" x14ac:dyDescent="0.25">
      <c r="D520" s="22"/>
      <c r="F520" s="22"/>
      <c r="H520" s="22"/>
      <c r="K520" s="22"/>
      <c r="L520" t="str">
        <f t="shared" ca="1" si="8"/>
        <v/>
      </c>
    </row>
    <row r="521" spans="4:12" x14ac:dyDescent="0.25">
      <c r="D521" s="22"/>
      <c r="F521" s="22"/>
      <c r="H521" s="22"/>
      <c r="K521" s="22"/>
      <c r="L521" t="str">
        <f t="shared" ca="1" si="8"/>
        <v/>
      </c>
    </row>
    <row r="522" spans="4:12" x14ac:dyDescent="0.25">
      <c r="D522" s="22"/>
      <c r="F522" s="22"/>
      <c r="H522" s="22"/>
      <c r="K522" s="22"/>
      <c r="L522" t="str">
        <f t="shared" ca="1" si="8"/>
        <v/>
      </c>
    </row>
    <row r="523" spans="4:12" x14ac:dyDescent="0.25">
      <c r="D523" s="22"/>
      <c r="F523" s="22"/>
      <c r="H523" s="22"/>
      <c r="K523" s="22"/>
      <c r="L523" t="str">
        <f t="shared" ca="1" si="8"/>
        <v/>
      </c>
    </row>
    <row r="524" spans="4:12" x14ac:dyDescent="0.25">
      <c r="D524" s="22"/>
      <c r="F524" s="22"/>
      <c r="H524" s="22"/>
      <c r="K524" s="22"/>
      <c r="L524" t="str">
        <f t="shared" ca="1" si="8"/>
        <v/>
      </c>
    </row>
    <row r="525" spans="4:12" x14ac:dyDescent="0.25">
      <c r="D525" s="22"/>
      <c r="F525" s="22"/>
      <c r="H525" s="22"/>
      <c r="K525" s="22"/>
      <c r="L525" t="str">
        <f t="shared" ca="1" si="8"/>
        <v/>
      </c>
    </row>
    <row r="526" spans="4:12" x14ac:dyDescent="0.25">
      <c r="D526" s="22"/>
      <c r="F526" s="22"/>
      <c r="H526" s="22"/>
      <c r="K526" s="22"/>
      <c r="L526" t="str">
        <f t="shared" ca="1" si="8"/>
        <v/>
      </c>
    </row>
    <row r="527" spans="4:12" x14ac:dyDescent="0.25">
      <c r="D527" s="22"/>
      <c r="F527" s="22"/>
      <c r="H527" s="22"/>
      <c r="K527" s="22"/>
      <c r="L527" t="str">
        <f t="shared" ca="1" si="8"/>
        <v/>
      </c>
    </row>
    <row r="528" spans="4:12" x14ac:dyDescent="0.25">
      <c r="D528" s="22"/>
      <c r="F528" s="22"/>
      <c r="H528" s="22"/>
      <c r="K528" s="22"/>
      <c r="L528" t="str">
        <f t="shared" ca="1" si="8"/>
        <v/>
      </c>
    </row>
    <row r="529" spans="4:12" x14ac:dyDescent="0.25">
      <c r="D529" s="22"/>
      <c r="F529" s="22"/>
      <c r="H529" s="22"/>
      <c r="K529" s="22"/>
      <c r="L529" t="str">
        <f t="shared" ca="1" si="8"/>
        <v/>
      </c>
    </row>
    <row r="530" spans="4:12" x14ac:dyDescent="0.25">
      <c r="D530" s="22"/>
      <c r="F530" s="22"/>
      <c r="H530" s="22"/>
      <c r="K530" s="22"/>
      <c r="L530" t="str">
        <f t="shared" ca="1" si="8"/>
        <v/>
      </c>
    </row>
    <row r="531" spans="4:12" x14ac:dyDescent="0.25">
      <c r="D531" s="22"/>
      <c r="F531" s="22"/>
      <c r="H531" s="22"/>
      <c r="K531" s="22"/>
      <c r="L531" t="str">
        <f t="shared" ca="1" si="8"/>
        <v/>
      </c>
    </row>
    <row r="532" spans="4:12" x14ac:dyDescent="0.25">
      <c r="D532" s="22"/>
      <c r="F532" s="22"/>
      <c r="H532" s="22"/>
      <c r="K532" s="22"/>
      <c r="L532" t="str">
        <f t="shared" ca="1" si="8"/>
        <v/>
      </c>
    </row>
    <row r="533" spans="4:12" x14ac:dyDescent="0.25">
      <c r="D533" s="22"/>
      <c r="F533" s="22"/>
      <c r="H533" s="22"/>
      <c r="K533" s="22"/>
      <c r="L533" t="str">
        <f t="shared" ca="1" si="8"/>
        <v/>
      </c>
    </row>
    <row r="534" spans="4:12" x14ac:dyDescent="0.25">
      <c r="D534" s="22"/>
      <c r="F534" s="22"/>
      <c r="H534" s="22"/>
      <c r="K534" s="22"/>
      <c r="L534" t="str">
        <f t="shared" ca="1" si="8"/>
        <v/>
      </c>
    </row>
    <row r="535" spans="4:12" x14ac:dyDescent="0.25">
      <c r="D535" s="22"/>
      <c r="F535" s="22"/>
      <c r="H535" s="22"/>
      <c r="K535" s="22"/>
      <c r="L535" t="str">
        <f t="shared" ca="1" si="8"/>
        <v/>
      </c>
    </row>
    <row r="536" spans="4:12" x14ac:dyDescent="0.25">
      <c r="D536" s="22"/>
      <c r="F536" s="22"/>
      <c r="H536" s="22"/>
      <c r="K536" s="22"/>
      <c r="L536" t="str">
        <f t="shared" ca="1" si="8"/>
        <v/>
      </c>
    </row>
    <row r="537" spans="4:12" x14ac:dyDescent="0.25">
      <c r="D537" s="22"/>
      <c r="F537" s="22"/>
      <c r="H537" s="22"/>
      <c r="K537" s="22"/>
      <c r="L537" t="str">
        <f t="shared" ca="1" si="8"/>
        <v/>
      </c>
    </row>
    <row r="538" spans="4:12" x14ac:dyDescent="0.25">
      <c r="D538" s="22"/>
      <c r="F538" s="22"/>
      <c r="H538" s="22"/>
      <c r="K538" s="22"/>
      <c r="L538" t="str">
        <f t="shared" ca="1" si="8"/>
        <v/>
      </c>
    </row>
    <row r="539" spans="4:12" x14ac:dyDescent="0.25">
      <c r="D539" s="22"/>
      <c r="F539" s="22"/>
      <c r="H539" s="22"/>
      <c r="K539" s="22"/>
      <c r="L539" t="str">
        <f t="shared" ca="1" si="8"/>
        <v/>
      </c>
    </row>
    <row r="540" spans="4:12" x14ac:dyDescent="0.25">
      <c r="D540" s="22"/>
      <c r="F540" s="22"/>
      <c r="H540" s="22"/>
      <c r="K540" s="22"/>
      <c r="L540" t="str">
        <f t="shared" ca="1" si="8"/>
        <v/>
      </c>
    </row>
    <row r="541" spans="4:12" x14ac:dyDescent="0.25">
      <c r="D541" s="22"/>
      <c r="F541" s="22"/>
      <c r="H541" s="22"/>
      <c r="K541" s="22"/>
      <c r="L541" t="str">
        <f t="shared" ca="1" si="8"/>
        <v/>
      </c>
    </row>
    <row r="542" spans="4:12" x14ac:dyDescent="0.25">
      <c r="D542" s="22"/>
      <c r="F542" s="22"/>
      <c r="H542" s="22"/>
      <c r="K542" s="22"/>
      <c r="L542" t="str">
        <f t="shared" ca="1" si="8"/>
        <v/>
      </c>
    </row>
    <row r="543" spans="4:12" x14ac:dyDescent="0.25">
      <c r="D543" s="22"/>
      <c r="F543" s="22"/>
      <c r="H543" s="22"/>
      <c r="K543" s="22"/>
      <c r="L543" t="str">
        <f t="shared" ca="1" si="8"/>
        <v/>
      </c>
    </row>
    <row r="544" spans="4:12" x14ac:dyDescent="0.25">
      <c r="D544" s="22"/>
      <c r="F544" s="22"/>
      <c r="H544" s="22"/>
      <c r="K544" s="22"/>
      <c r="L544" t="str">
        <f t="shared" ca="1" si="8"/>
        <v/>
      </c>
    </row>
    <row r="545" spans="4:12" x14ac:dyDescent="0.25">
      <c r="D545" s="22"/>
      <c r="F545" s="22"/>
      <c r="H545" s="22"/>
      <c r="K545" s="22"/>
      <c r="L545" t="str">
        <f t="shared" ca="1" si="8"/>
        <v/>
      </c>
    </row>
    <row r="546" spans="4:12" x14ac:dyDescent="0.25">
      <c r="D546" s="22"/>
      <c r="F546" s="22"/>
      <c r="H546" s="22"/>
      <c r="K546" s="22"/>
      <c r="L546" t="str">
        <f t="shared" ca="1" si="8"/>
        <v/>
      </c>
    </row>
    <row r="547" spans="4:12" x14ac:dyDescent="0.25">
      <c r="D547" s="22"/>
      <c r="F547" s="22"/>
      <c r="H547" s="22"/>
      <c r="K547" s="22"/>
      <c r="L547" t="str">
        <f t="shared" ca="1" si="8"/>
        <v/>
      </c>
    </row>
    <row r="548" spans="4:12" x14ac:dyDescent="0.25">
      <c r="D548" s="22"/>
      <c r="F548" s="22"/>
      <c r="H548" s="22"/>
      <c r="K548" s="22"/>
      <c r="L548" t="str">
        <f t="shared" ca="1" si="8"/>
        <v/>
      </c>
    </row>
    <row r="549" spans="4:12" x14ac:dyDescent="0.25">
      <c r="D549" s="22"/>
      <c r="F549" s="22"/>
      <c r="H549" s="22"/>
      <c r="K549" s="22"/>
      <c r="L549" t="str">
        <f t="shared" ca="1" si="8"/>
        <v/>
      </c>
    </row>
    <row r="550" spans="4:12" x14ac:dyDescent="0.25">
      <c r="D550" s="22"/>
      <c r="F550" s="22"/>
      <c r="H550" s="22"/>
      <c r="K550" s="22"/>
      <c r="L550" t="str">
        <f t="shared" ca="1" si="8"/>
        <v/>
      </c>
    </row>
    <row r="551" spans="4:12" x14ac:dyDescent="0.25">
      <c r="D551" s="22"/>
      <c r="F551" s="22"/>
      <c r="H551" s="22"/>
      <c r="K551" s="22"/>
      <c r="L551" t="str">
        <f t="shared" ca="1" si="8"/>
        <v/>
      </c>
    </row>
    <row r="552" spans="4:12" x14ac:dyDescent="0.25">
      <c r="D552" s="22"/>
      <c r="F552" s="22"/>
      <c r="H552" s="22"/>
      <c r="K552" s="22"/>
      <c r="L552" t="str">
        <f t="shared" ca="1" si="8"/>
        <v/>
      </c>
    </row>
    <row r="553" spans="4:12" x14ac:dyDescent="0.25">
      <c r="D553" s="22"/>
      <c r="F553" s="22"/>
      <c r="H553" s="22"/>
      <c r="K553" s="22"/>
      <c r="L553" t="str">
        <f t="shared" ca="1" si="8"/>
        <v/>
      </c>
    </row>
    <row r="554" spans="4:12" x14ac:dyDescent="0.25">
      <c r="D554" s="22"/>
      <c r="F554" s="22"/>
      <c r="H554" s="22"/>
      <c r="K554" s="22"/>
      <c r="L554" t="str">
        <f t="shared" ca="1" si="8"/>
        <v/>
      </c>
    </row>
    <row r="555" spans="4:12" x14ac:dyDescent="0.25">
      <c r="D555" s="22"/>
      <c r="F555" s="22"/>
      <c r="H555" s="22"/>
      <c r="K555" s="22"/>
      <c r="L555" t="str">
        <f t="shared" ca="1" si="8"/>
        <v/>
      </c>
    </row>
    <row r="556" spans="4:12" x14ac:dyDescent="0.25">
      <c r="D556" s="22"/>
      <c r="F556" s="22"/>
      <c r="H556" s="22"/>
      <c r="K556" s="22"/>
      <c r="L556" t="str">
        <f t="shared" ca="1" si="8"/>
        <v/>
      </c>
    </row>
    <row r="557" spans="4:12" x14ac:dyDescent="0.25">
      <c r="D557" s="22"/>
      <c r="F557" s="22"/>
      <c r="H557" s="22"/>
      <c r="K557" s="22"/>
      <c r="L557" t="str">
        <f t="shared" ca="1" si="8"/>
        <v/>
      </c>
    </row>
    <row r="558" spans="4:12" x14ac:dyDescent="0.25">
      <c r="D558" s="22"/>
      <c r="F558" s="22"/>
      <c r="H558" s="22"/>
      <c r="K558" s="22"/>
      <c r="L558" t="str">
        <f t="shared" ca="1" si="8"/>
        <v/>
      </c>
    </row>
    <row r="559" spans="4:12" x14ac:dyDescent="0.25">
      <c r="D559" s="22"/>
      <c r="F559" s="22"/>
      <c r="H559" s="22"/>
      <c r="K559" s="22"/>
      <c r="L559" t="str">
        <f t="shared" ca="1" si="8"/>
        <v/>
      </c>
    </row>
    <row r="560" spans="4:12" x14ac:dyDescent="0.25">
      <c r="D560" s="22"/>
      <c r="F560" s="22"/>
      <c r="H560" s="22"/>
      <c r="K560" s="22"/>
      <c r="L560" t="str">
        <f t="shared" ca="1" si="8"/>
        <v/>
      </c>
    </row>
    <row r="561" spans="4:12" x14ac:dyDescent="0.25">
      <c r="D561" s="22"/>
      <c r="F561" s="22"/>
      <c r="H561" s="22"/>
      <c r="K561" s="22"/>
      <c r="L561" t="str">
        <f t="shared" ca="1" si="8"/>
        <v/>
      </c>
    </row>
    <row r="562" spans="4:12" x14ac:dyDescent="0.25">
      <c r="D562" s="22"/>
      <c r="F562" s="22"/>
      <c r="H562" s="22"/>
      <c r="K562" s="22"/>
      <c r="L562" t="str">
        <f t="shared" ca="1" si="8"/>
        <v/>
      </c>
    </row>
    <row r="563" spans="4:12" x14ac:dyDescent="0.25">
      <c r="D563" s="22"/>
      <c r="F563" s="22"/>
      <c r="H563" s="22"/>
      <c r="K563" s="22"/>
      <c r="L563" t="str">
        <f t="shared" ca="1" si="8"/>
        <v/>
      </c>
    </row>
    <row r="564" spans="4:12" x14ac:dyDescent="0.25">
      <c r="D564" s="22"/>
      <c r="F564" s="22"/>
      <c r="H564" s="22"/>
      <c r="K564" s="22"/>
      <c r="L564" t="str">
        <f t="shared" ca="1" si="8"/>
        <v/>
      </c>
    </row>
    <row r="565" spans="4:12" x14ac:dyDescent="0.25">
      <c r="D565" s="22"/>
      <c r="F565" s="22"/>
      <c r="H565" s="22"/>
      <c r="K565" s="22"/>
      <c r="L565" t="str">
        <f t="shared" ca="1" si="8"/>
        <v/>
      </c>
    </row>
    <row r="566" spans="4:12" x14ac:dyDescent="0.25">
      <c r="D566" s="22"/>
      <c r="F566" s="22"/>
      <c r="H566" s="22"/>
      <c r="K566" s="22"/>
      <c r="L566" t="str">
        <f t="shared" ca="1" si="8"/>
        <v/>
      </c>
    </row>
    <row r="567" spans="4:12" x14ac:dyDescent="0.25">
      <c r="D567" s="22"/>
      <c r="F567" s="22"/>
      <c r="H567" s="22"/>
      <c r="K567" s="22"/>
      <c r="L567" t="str">
        <f t="shared" ca="1" si="8"/>
        <v/>
      </c>
    </row>
    <row r="568" spans="4:12" x14ac:dyDescent="0.25">
      <c r="D568" s="22"/>
      <c r="F568" s="22"/>
      <c r="H568" s="22"/>
      <c r="K568" s="22"/>
      <c r="L568" t="str">
        <f t="shared" ca="1" si="8"/>
        <v/>
      </c>
    </row>
    <row r="569" spans="4:12" x14ac:dyDescent="0.25">
      <c r="D569" s="22"/>
      <c r="F569" s="22"/>
      <c r="H569" s="22"/>
      <c r="K569" s="22"/>
      <c r="L569" t="str">
        <f t="shared" ca="1" si="8"/>
        <v/>
      </c>
    </row>
    <row r="570" spans="4:12" x14ac:dyDescent="0.25">
      <c r="D570" s="22"/>
      <c r="F570" s="22"/>
      <c r="H570" s="22"/>
      <c r="K570" s="22"/>
      <c r="L570" t="str">
        <f t="shared" ca="1" si="8"/>
        <v/>
      </c>
    </row>
    <row r="571" spans="4:12" x14ac:dyDescent="0.25">
      <c r="D571" s="22"/>
      <c r="F571" s="22"/>
      <c r="H571" s="22"/>
      <c r="K571" s="22"/>
      <c r="L571" t="str">
        <f t="shared" ca="1" si="8"/>
        <v/>
      </c>
    </row>
    <row r="572" spans="4:12" x14ac:dyDescent="0.25">
      <c r="D572" s="22"/>
      <c r="F572" s="22"/>
      <c r="H572" s="22"/>
      <c r="K572" s="22"/>
      <c r="L572" t="str">
        <f t="shared" ca="1" si="8"/>
        <v/>
      </c>
    </row>
    <row r="573" spans="4:12" x14ac:dyDescent="0.25">
      <c r="D573" s="22"/>
      <c r="F573" s="22"/>
      <c r="H573" s="22"/>
      <c r="K573" s="22"/>
      <c r="L573" t="str">
        <f t="shared" ca="1" si="8"/>
        <v/>
      </c>
    </row>
    <row r="574" spans="4:12" x14ac:dyDescent="0.25">
      <c r="D574" s="22"/>
      <c r="F574" s="22"/>
      <c r="H574" s="22"/>
      <c r="K574" s="22"/>
      <c r="L574" t="str">
        <f t="shared" ca="1" si="8"/>
        <v/>
      </c>
    </row>
    <row r="575" spans="4:12" x14ac:dyDescent="0.25">
      <c r="D575" s="22"/>
      <c r="F575" s="22"/>
      <c r="H575" s="22"/>
      <c r="K575" s="22"/>
      <c r="L575" t="str">
        <f t="shared" ca="1" si="8"/>
        <v/>
      </c>
    </row>
    <row r="576" spans="4:12" x14ac:dyDescent="0.25">
      <c r="D576" s="22"/>
      <c r="F576" s="22"/>
      <c r="H576" s="22"/>
      <c r="K576" s="22"/>
      <c r="L576" t="str">
        <f t="shared" ca="1" si="8"/>
        <v/>
      </c>
    </row>
    <row r="577" spans="4:12" x14ac:dyDescent="0.25">
      <c r="D577" s="22"/>
      <c r="F577" s="22"/>
      <c r="H577" s="22"/>
      <c r="K577" s="22"/>
      <c r="L577" t="str">
        <f t="shared" ca="1" si="8"/>
        <v/>
      </c>
    </row>
    <row r="578" spans="4:12" x14ac:dyDescent="0.25">
      <c r="D578" s="22"/>
      <c r="F578" s="22"/>
      <c r="H578" s="22"/>
      <c r="K578" s="22"/>
      <c r="L578" t="str">
        <f t="shared" ref="L578:L641" ca="1" si="9">IF(A578="","",IF(OR(E578="Contratado",E578="Descartado",E578="Retirado",G578="No Contesta (Intento 3 - Final)",G578="Datos Erróneos"),"Cerrado",IF(K578="","Sin Fecha Programada",IF(K578&lt;TODAY(),"VENCIDO",IF(K578=TODAY(),"HOY","En Plazo")))))</f>
        <v/>
      </c>
    </row>
    <row r="579" spans="4:12" x14ac:dyDescent="0.25">
      <c r="D579" s="22"/>
      <c r="F579" s="22"/>
      <c r="H579" s="22"/>
      <c r="K579" s="22"/>
      <c r="L579" t="str">
        <f t="shared" ca="1" si="9"/>
        <v/>
      </c>
    </row>
    <row r="580" spans="4:12" x14ac:dyDescent="0.25">
      <c r="D580" s="22"/>
      <c r="F580" s="22"/>
      <c r="H580" s="22"/>
      <c r="K580" s="22"/>
      <c r="L580" t="str">
        <f t="shared" ca="1" si="9"/>
        <v/>
      </c>
    </row>
    <row r="581" spans="4:12" x14ac:dyDescent="0.25">
      <c r="D581" s="22"/>
      <c r="F581" s="22"/>
      <c r="H581" s="22"/>
      <c r="K581" s="22"/>
      <c r="L581" t="str">
        <f t="shared" ca="1" si="9"/>
        <v/>
      </c>
    </row>
    <row r="582" spans="4:12" x14ac:dyDescent="0.25">
      <c r="D582" s="22"/>
      <c r="F582" s="22"/>
      <c r="H582" s="22"/>
      <c r="K582" s="22"/>
      <c r="L582" t="str">
        <f t="shared" ca="1" si="9"/>
        <v/>
      </c>
    </row>
    <row r="583" spans="4:12" x14ac:dyDescent="0.25">
      <c r="D583" s="22"/>
      <c r="F583" s="22"/>
      <c r="H583" s="22"/>
      <c r="K583" s="22"/>
      <c r="L583" t="str">
        <f t="shared" ca="1" si="9"/>
        <v/>
      </c>
    </row>
    <row r="584" spans="4:12" x14ac:dyDescent="0.25">
      <c r="D584" s="22"/>
      <c r="F584" s="22"/>
      <c r="H584" s="22"/>
      <c r="K584" s="22"/>
      <c r="L584" t="str">
        <f t="shared" ca="1" si="9"/>
        <v/>
      </c>
    </row>
    <row r="585" spans="4:12" x14ac:dyDescent="0.25">
      <c r="D585" s="22"/>
      <c r="F585" s="22"/>
      <c r="H585" s="22"/>
      <c r="K585" s="22"/>
      <c r="L585" t="str">
        <f t="shared" ca="1" si="9"/>
        <v/>
      </c>
    </row>
    <row r="586" spans="4:12" x14ac:dyDescent="0.25">
      <c r="D586" s="22"/>
      <c r="F586" s="22"/>
      <c r="H586" s="22"/>
      <c r="K586" s="22"/>
      <c r="L586" t="str">
        <f t="shared" ca="1" si="9"/>
        <v/>
      </c>
    </row>
    <row r="587" spans="4:12" x14ac:dyDescent="0.25">
      <c r="D587" s="22"/>
      <c r="F587" s="22"/>
      <c r="H587" s="22"/>
      <c r="K587" s="22"/>
      <c r="L587" t="str">
        <f t="shared" ca="1" si="9"/>
        <v/>
      </c>
    </row>
    <row r="588" spans="4:12" x14ac:dyDescent="0.25">
      <c r="D588" s="22"/>
      <c r="F588" s="22"/>
      <c r="H588" s="22"/>
      <c r="K588" s="22"/>
      <c r="L588" t="str">
        <f t="shared" ca="1" si="9"/>
        <v/>
      </c>
    </row>
    <row r="589" spans="4:12" x14ac:dyDescent="0.25">
      <c r="D589" s="22"/>
      <c r="F589" s="22"/>
      <c r="H589" s="22"/>
      <c r="K589" s="22"/>
      <c r="L589" t="str">
        <f t="shared" ca="1" si="9"/>
        <v/>
      </c>
    </row>
    <row r="590" spans="4:12" x14ac:dyDescent="0.25">
      <c r="D590" s="22"/>
      <c r="F590" s="22"/>
      <c r="H590" s="22"/>
      <c r="K590" s="22"/>
      <c r="L590" t="str">
        <f t="shared" ca="1" si="9"/>
        <v/>
      </c>
    </row>
    <row r="591" spans="4:12" x14ac:dyDescent="0.25">
      <c r="D591" s="22"/>
      <c r="F591" s="22"/>
      <c r="H591" s="22"/>
      <c r="K591" s="22"/>
      <c r="L591" t="str">
        <f t="shared" ca="1" si="9"/>
        <v/>
      </c>
    </row>
    <row r="592" spans="4:12" x14ac:dyDescent="0.25">
      <c r="D592" s="22"/>
      <c r="F592" s="22"/>
      <c r="H592" s="22"/>
      <c r="K592" s="22"/>
      <c r="L592" t="str">
        <f t="shared" ca="1" si="9"/>
        <v/>
      </c>
    </row>
    <row r="593" spans="4:12" x14ac:dyDescent="0.25">
      <c r="D593" s="22"/>
      <c r="F593" s="22"/>
      <c r="H593" s="22"/>
      <c r="K593" s="22"/>
      <c r="L593" t="str">
        <f t="shared" ca="1" si="9"/>
        <v/>
      </c>
    </row>
    <row r="594" spans="4:12" x14ac:dyDescent="0.25">
      <c r="D594" s="22"/>
      <c r="F594" s="22"/>
      <c r="H594" s="22"/>
      <c r="K594" s="22"/>
      <c r="L594" t="str">
        <f t="shared" ca="1" si="9"/>
        <v/>
      </c>
    </row>
    <row r="595" spans="4:12" x14ac:dyDescent="0.25">
      <c r="D595" s="22"/>
      <c r="F595" s="22"/>
      <c r="H595" s="22"/>
      <c r="K595" s="22"/>
      <c r="L595" t="str">
        <f t="shared" ca="1" si="9"/>
        <v/>
      </c>
    </row>
    <row r="596" spans="4:12" x14ac:dyDescent="0.25">
      <c r="D596" s="22"/>
      <c r="F596" s="22"/>
      <c r="H596" s="22"/>
      <c r="K596" s="22"/>
      <c r="L596" t="str">
        <f t="shared" ca="1" si="9"/>
        <v/>
      </c>
    </row>
    <row r="597" spans="4:12" x14ac:dyDescent="0.25">
      <c r="D597" s="22"/>
      <c r="F597" s="22"/>
      <c r="H597" s="22"/>
      <c r="K597" s="22"/>
      <c r="L597" t="str">
        <f t="shared" ca="1" si="9"/>
        <v/>
      </c>
    </row>
    <row r="598" spans="4:12" x14ac:dyDescent="0.25">
      <c r="D598" s="22"/>
      <c r="F598" s="22"/>
      <c r="H598" s="22"/>
      <c r="K598" s="22"/>
      <c r="L598" t="str">
        <f t="shared" ca="1" si="9"/>
        <v/>
      </c>
    </row>
    <row r="599" spans="4:12" x14ac:dyDescent="0.25">
      <c r="D599" s="22"/>
      <c r="F599" s="22"/>
      <c r="H599" s="22"/>
      <c r="K599" s="22"/>
      <c r="L599" t="str">
        <f t="shared" ca="1" si="9"/>
        <v/>
      </c>
    </row>
    <row r="600" spans="4:12" x14ac:dyDescent="0.25">
      <c r="D600" s="22"/>
      <c r="F600" s="22"/>
      <c r="H600" s="22"/>
      <c r="K600" s="22"/>
      <c r="L600" t="str">
        <f t="shared" ca="1" si="9"/>
        <v/>
      </c>
    </row>
    <row r="601" spans="4:12" x14ac:dyDescent="0.25">
      <c r="D601" s="22"/>
      <c r="F601" s="22"/>
      <c r="H601" s="22"/>
      <c r="K601" s="22"/>
      <c r="L601" t="str">
        <f t="shared" ca="1" si="9"/>
        <v/>
      </c>
    </row>
    <row r="602" spans="4:12" x14ac:dyDescent="0.25">
      <c r="D602" s="22"/>
      <c r="F602" s="22"/>
      <c r="H602" s="22"/>
      <c r="K602" s="22"/>
      <c r="L602" t="str">
        <f t="shared" ca="1" si="9"/>
        <v/>
      </c>
    </row>
    <row r="603" spans="4:12" x14ac:dyDescent="0.25">
      <c r="D603" s="22"/>
      <c r="F603" s="22"/>
      <c r="H603" s="22"/>
      <c r="K603" s="22"/>
      <c r="L603" t="str">
        <f t="shared" ca="1" si="9"/>
        <v/>
      </c>
    </row>
    <row r="604" spans="4:12" x14ac:dyDescent="0.25">
      <c r="D604" s="22"/>
      <c r="F604" s="22"/>
      <c r="H604" s="22"/>
      <c r="K604" s="22"/>
      <c r="L604" t="str">
        <f t="shared" ca="1" si="9"/>
        <v/>
      </c>
    </row>
    <row r="605" spans="4:12" x14ac:dyDescent="0.25">
      <c r="D605" s="22"/>
      <c r="F605" s="22"/>
      <c r="H605" s="22"/>
      <c r="K605" s="22"/>
      <c r="L605" t="str">
        <f t="shared" ca="1" si="9"/>
        <v/>
      </c>
    </row>
    <row r="606" spans="4:12" x14ac:dyDescent="0.25">
      <c r="D606" s="22"/>
      <c r="F606" s="22"/>
      <c r="H606" s="22"/>
      <c r="K606" s="22"/>
      <c r="L606" t="str">
        <f t="shared" ca="1" si="9"/>
        <v/>
      </c>
    </row>
    <row r="607" spans="4:12" x14ac:dyDescent="0.25">
      <c r="D607" s="22"/>
      <c r="F607" s="22"/>
      <c r="H607" s="22"/>
      <c r="K607" s="22"/>
      <c r="L607" t="str">
        <f t="shared" ca="1" si="9"/>
        <v/>
      </c>
    </row>
    <row r="608" spans="4:12" x14ac:dyDescent="0.25">
      <c r="D608" s="22"/>
      <c r="F608" s="22"/>
      <c r="H608" s="22"/>
      <c r="K608" s="22"/>
      <c r="L608" t="str">
        <f t="shared" ca="1" si="9"/>
        <v/>
      </c>
    </row>
    <row r="609" spans="4:12" x14ac:dyDescent="0.25">
      <c r="D609" s="22"/>
      <c r="F609" s="22"/>
      <c r="H609" s="22"/>
      <c r="K609" s="22"/>
      <c r="L609" t="str">
        <f t="shared" ca="1" si="9"/>
        <v/>
      </c>
    </row>
    <row r="610" spans="4:12" x14ac:dyDescent="0.25">
      <c r="D610" s="22"/>
      <c r="F610" s="22"/>
      <c r="H610" s="22"/>
      <c r="K610" s="22"/>
      <c r="L610" t="str">
        <f t="shared" ca="1" si="9"/>
        <v/>
      </c>
    </row>
    <row r="611" spans="4:12" x14ac:dyDescent="0.25">
      <c r="D611" s="22"/>
      <c r="F611" s="22"/>
      <c r="H611" s="22"/>
      <c r="K611" s="22"/>
      <c r="L611" t="str">
        <f t="shared" ca="1" si="9"/>
        <v/>
      </c>
    </row>
    <row r="612" spans="4:12" x14ac:dyDescent="0.25">
      <c r="D612" s="22"/>
      <c r="F612" s="22"/>
      <c r="H612" s="22"/>
      <c r="K612" s="22"/>
      <c r="L612" t="str">
        <f t="shared" ca="1" si="9"/>
        <v/>
      </c>
    </row>
    <row r="613" spans="4:12" x14ac:dyDescent="0.25">
      <c r="D613" s="22"/>
      <c r="F613" s="22"/>
      <c r="H613" s="22"/>
      <c r="K613" s="22"/>
      <c r="L613" t="str">
        <f t="shared" ca="1" si="9"/>
        <v/>
      </c>
    </row>
    <row r="614" spans="4:12" x14ac:dyDescent="0.25">
      <c r="D614" s="22"/>
      <c r="F614" s="22"/>
      <c r="H614" s="22"/>
      <c r="K614" s="22"/>
      <c r="L614" t="str">
        <f t="shared" ca="1" si="9"/>
        <v/>
      </c>
    </row>
    <row r="615" spans="4:12" x14ac:dyDescent="0.25">
      <c r="D615" s="22"/>
      <c r="F615" s="22"/>
      <c r="H615" s="22"/>
      <c r="K615" s="22"/>
      <c r="L615" t="str">
        <f t="shared" ca="1" si="9"/>
        <v/>
      </c>
    </row>
    <row r="616" spans="4:12" x14ac:dyDescent="0.25">
      <c r="D616" s="22"/>
      <c r="F616" s="22"/>
      <c r="H616" s="22"/>
      <c r="K616" s="22"/>
      <c r="L616" t="str">
        <f t="shared" ca="1" si="9"/>
        <v/>
      </c>
    </row>
    <row r="617" spans="4:12" x14ac:dyDescent="0.25">
      <c r="D617" s="22"/>
      <c r="F617" s="22"/>
      <c r="H617" s="22"/>
      <c r="K617" s="22"/>
      <c r="L617" t="str">
        <f t="shared" ca="1" si="9"/>
        <v/>
      </c>
    </row>
    <row r="618" spans="4:12" x14ac:dyDescent="0.25">
      <c r="D618" s="22"/>
      <c r="F618" s="22"/>
      <c r="H618" s="22"/>
      <c r="K618" s="22"/>
      <c r="L618" t="str">
        <f t="shared" ca="1" si="9"/>
        <v/>
      </c>
    </row>
    <row r="619" spans="4:12" x14ac:dyDescent="0.25">
      <c r="D619" s="22"/>
      <c r="F619" s="22"/>
      <c r="H619" s="22"/>
      <c r="K619" s="22"/>
      <c r="L619" t="str">
        <f t="shared" ca="1" si="9"/>
        <v/>
      </c>
    </row>
    <row r="620" spans="4:12" x14ac:dyDescent="0.25">
      <c r="D620" s="22"/>
      <c r="F620" s="22"/>
      <c r="H620" s="22"/>
      <c r="K620" s="22"/>
      <c r="L620" t="str">
        <f t="shared" ca="1" si="9"/>
        <v/>
      </c>
    </row>
    <row r="621" spans="4:12" x14ac:dyDescent="0.25">
      <c r="D621" s="22"/>
      <c r="F621" s="22"/>
      <c r="H621" s="22"/>
      <c r="K621" s="22"/>
      <c r="L621" t="str">
        <f t="shared" ca="1" si="9"/>
        <v/>
      </c>
    </row>
    <row r="622" spans="4:12" x14ac:dyDescent="0.25">
      <c r="D622" s="22"/>
      <c r="F622" s="22"/>
      <c r="H622" s="22"/>
      <c r="K622" s="22"/>
      <c r="L622" t="str">
        <f t="shared" ca="1" si="9"/>
        <v/>
      </c>
    </row>
    <row r="623" spans="4:12" x14ac:dyDescent="0.25">
      <c r="D623" s="22"/>
      <c r="F623" s="22"/>
      <c r="H623" s="22"/>
      <c r="K623" s="22"/>
      <c r="L623" t="str">
        <f t="shared" ca="1" si="9"/>
        <v/>
      </c>
    </row>
    <row r="624" spans="4:12" x14ac:dyDescent="0.25">
      <c r="D624" s="22"/>
      <c r="F624" s="22"/>
      <c r="H624" s="22"/>
      <c r="K624" s="22"/>
      <c r="L624" t="str">
        <f t="shared" ca="1" si="9"/>
        <v/>
      </c>
    </row>
    <row r="625" spans="4:12" x14ac:dyDescent="0.25">
      <c r="D625" s="22"/>
      <c r="F625" s="22"/>
      <c r="H625" s="22"/>
      <c r="K625" s="22"/>
      <c r="L625" t="str">
        <f t="shared" ca="1" si="9"/>
        <v/>
      </c>
    </row>
    <row r="626" spans="4:12" x14ac:dyDescent="0.25">
      <c r="D626" s="22"/>
      <c r="F626" s="22"/>
      <c r="H626" s="22"/>
      <c r="K626" s="22"/>
      <c r="L626" t="str">
        <f t="shared" ca="1" si="9"/>
        <v/>
      </c>
    </row>
    <row r="627" spans="4:12" x14ac:dyDescent="0.25">
      <c r="D627" s="22"/>
      <c r="F627" s="22"/>
      <c r="H627" s="22"/>
      <c r="K627" s="22"/>
      <c r="L627" t="str">
        <f t="shared" ca="1" si="9"/>
        <v/>
      </c>
    </row>
    <row r="628" spans="4:12" x14ac:dyDescent="0.25">
      <c r="D628" s="22"/>
      <c r="F628" s="22"/>
      <c r="H628" s="22"/>
      <c r="K628" s="22"/>
      <c r="L628" t="str">
        <f t="shared" ca="1" si="9"/>
        <v/>
      </c>
    </row>
    <row r="629" spans="4:12" x14ac:dyDescent="0.25">
      <c r="D629" s="22"/>
      <c r="F629" s="22"/>
      <c r="H629" s="22"/>
      <c r="K629" s="22"/>
      <c r="L629" t="str">
        <f t="shared" ca="1" si="9"/>
        <v/>
      </c>
    </row>
    <row r="630" spans="4:12" x14ac:dyDescent="0.25">
      <c r="D630" s="22"/>
      <c r="F630" s="22"/>
      <c r="H630" s="22"/>
      <c r="K630" s="22"/>
      <c r="L630" t="str">
        <f t="shared" ca="1" si="9"/>
        <v/>
      </c>
    </row>
    <row r="631" spans="4:12" x14ac:dyDescent="0.25">
      <c r="D631" s="22"/>
      <c r="F631" s="22"/>
      <c r="H631" s="22"/>
      <c r="K631" s="22"/>
      <c r="L631" t="str">
        <f t="shared" ca="1" si="9"/>
        <v/>
      </c>
    </row>
    <row r="632" spans="4:12" x14ac:dyDescent="0.25">
      <c r="D632" s="22"/>
      <c r="F632" s="22"/>
      <c r="H632" s="22"/>
      <c r="K632" s="22"/>
      <c r="L632" t="str">
        <f t="shared" ca="1" si="9"/>
        <v/>
      </c>
    </row>
    <row r="633" spans="4:12" x14ac:dyDescent="0.25">
      <c r="D633" s="22"/>
      <c r="F633" s="22"/>
      <c r="H633" s="22"/>
      <c r="K633" s="22"/>
      <c r="L633" t="str">
        <f t="shared" ca="1" si="9"/>
        <v/>
      </c>
    </row>
    <row r="634" spans="4:12" x14ac:dyDescent="0.25">
      <c r="D634" s="22"/>
      <c r="F634" s="22"/>
      <c r="H634" s="22"/>
      <c r="K634" s="22"/>
      <c r="L634" t="str">
        <f t="shared" ca="1" si="9"/>
        <v/>
      </c>
    </row>
    <row r="635" spans="4:12" x14ac:dyDescent="0.25">
      <c r="D635" s="22"/>
      <c r="F635" s="22"/>
      <c r="H635" s="22"/>
      <c r="K635" s="22"/>
      <c r="L635" t="str">
        <f t="shared" ca="1" si="9"/>
        <v/>
      </c>
    </row>
    <row r="636" spans="4:12" x14ac:dyDescent="0.25">
      <c r="D636" s="22"/>
      <c r="F636" s="22"/>
      <c r="H636" s="22"/>
      <c r="K636" s="22"/>
      <c r="L636" t="str">
        <f t="shared" ca="1" si="9"/>
        <v/>
      </c>
    </row>
    <row r="637" spans="4:12" x14ac:dyDescent="0.25">
      <c r="D637" s="22"/>
      <c r="F637" s="22"/>
      <c r="H637" s="22"/>
      <c r="K637" s="22"/>
      <c r="L637" t="str">
        <f t="shared" ca="1" si="9"/>
        <v/>
      </c>
    </row>
    <row r="638" spans="4:12" x14ac:dyDescent="0.25">
      <c r="D638" s="22"/>
      <c r="F638" s="22"/>
      <c r="H638" s="22"/>
      <c r="K638" s="22"/>
      <c r="L638" t="str">
        <f t="shared" ca="1" si="9"/>
        <v/>
      </c>
    </row>
    <row r="639" spans="4:12" x14ac:dyDescent="0.25">
      <c r="D639" s="22"/>
      <c r="F639" s="22"/>
      <c r="H639" s="22"/>
      <c r="K639" s="22"/>
      <c r="L639" t="str">
        <f t="shared" ca="1" si="9"/>
        <v/>
      </c>
    </row>
    <row r="640" spans="4:12" x14ac:dyDescent="0.25">
      <c r="D640" s="22"/>
      <c r="F640" s="22"/>
      <c r="H640" s="22"/>
      <c r="K640" s="22"/>
      <c r="L640" t="str">
        <f t="shared" ca="1" si="9"/>
        <v/>
      </c>
    </row>
    <row r="641" spans="4:12" x14ac:dyDescent="0.25">
      <c r="D641" s="22"/>
      <c r="F641" s="22"/>
      <c r="H641" s="22"/>
      <c r="K641" s="22"/>
      <c r="L641" t="str">
        <f t="shared" ca="1" si="9"/>
        <v/>
      </c>
    </row>
    <row r="642" spans="4:12" x14ac:dyDescent="0.25">
      <c r="D642" s="22"/>
      <c r="F642" s="22"/>
      <c r="H642" s="22"/>
      <c r="K642" s="22"/>
      <c r="L642" t="str">
        <f t="shared" ref="L642:L705" ca="1" si="10">IF(A642="","",IF(OR(E642="Contratado",E642="Descartado",E642="Retirado",G642="No Contesta (Intento 3 - Final)",G642="Datos Erróneos"),"Cerrado",IF(K642="","Sin Fecha Programada",IF(K642&lt;TODAY(),"VENCIDO",IF(K642=TODAY(),"HOY","En Plazo")))))</f>
        <v/>
      </c>
    </row>
    <row r="643" spans="4:12" x14ac:dyDescent="0.25">
      <c r="D643" s="22"/>
      <c r="F643" s="22"/>
      <c r="H643" s="22"/>
      <c r="K643" s="22"/>
      <c r="L643" t="str">
        <f t="shared" ca="1" si="10"/>
        <v/>
      </c>
    </row>
    <row r="644" spans="4:12" x14ac:dyDescent="0.25">
      <c r="D644" s="22"/>
      <c r="F644" s="22"/>
      <c r="H644" s="22"/>
      <c r="K644" s="22"/>
      <c r="L644" t="str">
        <f t="shared" ca="1" si="10"/>
        <v/>
      </c>
    </row>
    <row r="645" spans="4:12" x14ac:dyDescent="0.25">
      <c r="D645" s="22"/>
      <c r="F645" s="22"/>
      <c r="H645" s="22"/>
      <c r="K645" s="22"/>
      <c r="L645" t="str">
        <f t="shared" ca="1" si="10"/>
        <v/>
      </c>
    </row>
    <row r="646" spans="4:12" x14ac:dyDescent="0.25">
      <c r="D646" s="22"/>
      <c r="F646" s="22"/>
      <c r="H646" s="22"/>
      <c r="K646" s="22"/>
      <c r="L646" t="str">
        <f t="shared" ca="1" si="10"/>
        <v/>
      </c>
    </row>
    <row r="647" spans="4:12" x14ac:dyDescent="0.25">
      <c r="D647" s="22"/>
      <c r="F647" s="22"/>
      <c r="H647" s="22"/>
      <c r="K647" s="22"/>
      <c r="L647" t="str">
        <f t="shared" ca="1" si="10"/>
        <v/>
      </c>
    </row>
    <row r="648" spans="4:12" x14ac:dyDescent="0.25">
      <c r="D648" s="22"/>
      <c r="F648" s="22"/>
      <c r="H648" s="22"/>
      <c r="K648" s="22"/>
      <c r="L648" t="str">
        <f t="shared" ca="1" si="10"/>
        <v/>
      </c>
    </row>
    <row r="649" spans="4:12" x14ac:dyDescent="0.25">
      <c r="D649" s="22"/>
      <c r="F649" s="22"/>
      <c r="H649" s="22"/>
      <c r="K649" s="22"/>
      <c r="L649" t="str">
        <f t="shared" ca="1" si="10"/>
        <v/>
      </c>
    </row>
    <row r="650" spans="4:12" x14ac:dyDescent="0.25">
      <c r="D650" s="22"/>
      <c r="F650" s="22"/>
      <c r="H650" s="22"/>
      <c r="K650" s="22"/>
      <c r="L650" t="str">
        <f t="shared" ca="1" si="10"/>
        <v/>
      </c>
    </row>
    <row r="651" spans="4:12" x14ac:dyDescent="0.25">
      <c r="D651" s="22"/>
      <c r="F651" s="22"/>
      <c r="H651" s="22"/>
      <c r="K651" s="22"/>
      <c r="L651" t="str">
        <f t="shared" ca="1" si="10"/>
        <v/>
      </c>
    </row>
    <row r="652" spans="4:12" x14ac:dyDescent="0.25">
      <c r="D652" s="22"/>
      <c r="F652" s="22"/>
      <c r="H652" s="22"/>
      <c r="K652" s="22"/>
      <c r="L652" t="str">
        <f t="shared" ca="1" si="10"/>
        <v/>
      </c>
    </row>
    <row r="653" spans="4:12" x14ac:dyDescent="0.25">
      <c r="D653" s="22"/>
      <c r="F653" s="22"/>
      <c r="H653" s="22"/>
      <c r="K653" s="22"/>
      <c r="L653" t="str">
        <f t="shared" ca="1" si="10"/>
        <v/>
      </c>
    </row>
    <row r="654" spans="4:12" x14ac:dyDescent="0.25">
      <c r="D654" s="22"/>
      <c r="F654" s="22"/>
      <c r="H654" s="22"/>
      <c r="K654" s="22"/>
      <c r="L654" t="str">
        <f t="shared" ca="1" si="10"/>
        <v/>
      </c>
    </row>
    <row r="655" spans="4:12" x14ac:dyDescent="0.25">
      <c r="D655" s="22"/>
      <c r="F655" s="22"/>
      <c r="H655" s="22"/>
      <c r="K655" s="22"/>
      <c r="L655" t="str">
        <f t="shared" ca="1" si="10"/>
        <v/>
      </c>
    </row>
    <row r="656" spans="4:12" x14ac:dyDescent="0.25">
      <c r="D656" s="22"/>
      <c r="F656" s="22"/>
      <c r="H656" s="22"/>
      <c r="K656" s="22"/>
      <c r="L656" t="str">
        <f t="shared" ca="1" si="10"/>
        <v/>
      </c>
    </row>
    <row r="657" spans="4:12" x14ac:dyDescent="0.25">
      <c r="D657" s="22"/>
      <c r="F657" s="22"/>
      <c r="H657" s="22"/>
      <c r="K657" s="22"/>
      <c r="L657" t="str">
        <f t="shared" ca="1" si="10"/>
        <v/>
      </c>
    </row>
    <row r="658" spans="4:12" x14ac:dyDescent="0.25">
      <c r="D658" s="22"/>
      <c r="F658" s="22"/>
      <c r="H658" s="22"/>
      <c r="K658" s="22"/>
      <c r="L658" t="str">
        <f t="shared" ca="1" si="10"/>
        <v/>
      </c>
    </row>
    <row r="659" spans="4:12" x14ac:dyDescent="0.25">
      <c r="D659" s="22"/>
      <c r="F659" s="22"/>
      <c r="H659" s="22"/>
      <c r="K659" s="22"/>
      <c r="L659" t="str">
        <f t="shared" ca="1" si="10"/>
        <v/>
      </c>
    </row>
    <row r="660" spans="4:12" x14ac:dyDescent="0.25">
      <c r="D660" s="22"/>
      <c r="F660" s="22"/>
      <c r="H660" s="22"/>
      <c r="K660" s="22"/>
      <c r="L660" t="str">
        <f t="shared" ca="1" si="10"/>
        <v/>
      </c>
    </row>
    <row r="661" spans="4:12" x14ac:dyDescent="0.25">
      <c r="D661" s="22"/>
      <c r="F661" s="22"/>
      <c r="H661" s="22"/>
      <c r="K661" s="22"/>
      <c r="L661" t="str">
        <f t="shared" ca="1" si="10"/>
        <v/>
      </c>
    </row>
    <row r="662" spans="4:12" x14ac:dyDescent="0.25">
      <c r="D662" s="22"/>
      <c r="F662" s="22"/>
      <c r="H662" s="22"/>
      <c r="K662" s="22"/>
      <c r="L662" t="str">
        <f t="shared" ca="1" si="10"/>
        <v/>
      </c>
    </row>
    <row r="663" spans="4:12" x14ac:dyDescent="0.25">
      <c r="D663" s="22"/>
      <c r="F663" s="22"/>
      <c r="H663" s="22"/>
      <c r="K663" s="22"/>
      <c r="L663" t="str">
        <f t="shared" ca="1" si="10"/>
        <v/>
      </c>
    </row>
    <row r="664" spans="4:12" x14ac:dyDescent="0.25">
      <c r="D664" s="22"/>
      <c r="F664" s="22"/>
      <c r="H664" s="22"/>
      <c r="K664" s="22"/>
      <c r="L664" t="str">
        <f t="shared" ca="1" si="10"/>
        <v/>
      </c>
    </row>
    <row r="665" spans="4:12" x14ac:dyDescent="0.25">
      <c r="D665" s="22"/>
      <c r="F665" s="22"/>
      <c r="H665" s="22"/>
      <c r="K665" s="22"/>
      <c r="L665" t="str">
        <f t="shared" ca="1" si="10"/>
        <v/>
      </c>
    </row>
    <row r="666" spans="4:12" x14ac:dyDescent="0.25">
      <c r="D666" s="22"/>
      <c r="F666" s="22"/>
      <c r="H666" s="22"/>
      <c r="K666" s="22"/>
      <c r="L666" t="str">
        <f t="shared" ca="1" si="10"/>
        <v/>
      </c>
    </row>
    <row r="667" spans="4:12" x14ac:dyDescent="0.25">
      <c r="D667" s="22"/>
      <c r="F667" s="22"/>
      <c r="H667" s="22"/>
      <c r="K667" s="22"/>
      <c r="L667" t="str">
        <f t="shared" ca="1" si="10"/>
        <v/>
      </c>
    </row>
    <row r="668" spans="4:12" x14ac:dyDescent="0.25">
      <c r="D668" s="22"/>
      <c r="F668" s="22"/>
      <c r="H668" s="22"/>
      <c r="K668" s="22"/>
      <c r="L668" t="str">
        <f t="shared" ca="1" si="10"/>
        <v/>
      </c>
    </row>
    <row r="669" spans="4:12" x14ac:dyDescent="0.25">
      <c r="D669" s="22"/>
      <c r="F669" s="22"/>
      <c r="H669" s="22"/>
      <c r="K669" s="22"/>
      <c r="L669" t="str">
        <f t="shared" ca="1" si="10"/>
        <v/>
      </c>
    </row>
    <row r="670" spans="4:12" x14ac:dyDescent="0.25">
      <c r="D670" s="22"/>
      <c r="F670" s="22"/>
      <c r="H670" s="22"/>
      <c r="K670" s="22"/>
      <c r="L670" t="str">
        <f t="shared" ca="1" si="10"/>
        <v/>
      </c>
    </row>
    <row r="671" spans="4:12" x14ac:dyDescent="0.25">
      <c r="D671" s="22"/>
      <c r="F671" s="22"/>
      <c r="H671" s="22"/>
      <c r="K671" s="22"/>
      <c r="L671" t="str">
        <f t="shared" ca="1" si="10"/>
        <v/>
      </c>
    </row>
    <row r="672" spans="4:12" x14ac:dyDescent="0.25">
      <c r="D672" s="22"/>
      <c r="F672" s="22"/>
      <c r="H672" s="22"/>
      <c r="K672" s="22"/>
      <c r="L672" t="str">
        <f t="shared" ca="1" si="10"/>
        <v/>
      </c>
    </row>
    <row r="673" spans="4:12" x14ac:dyDescent="0.25">
      <c r="D673" s="22"/>
      <c r="F673" s="22"/>
      <c r="H673" s="22"/>
      <c r="K673" s="22"/>
      <c r="L673" t="str">
        <f t="shared" ca="1" si="10"/>
        <v/>
      </c>
    </row>
    <row r="674" spans="4:12" x14ac:dyDescent="0.25">
      <c r="D674" s="22"/>
      <c r="F674" s="22"/>
      <c r="H674" s="22"/>
      <c r="K674" s="22"/>
      <c r="L674" t="str">
        <f t="shared" ca="1" si="10"/>
        <v/>
      </c>
    </row>
    <row r="675" spans="4:12" x14ac:dyDescent="0.25">
      <c r="D675" s="22"/>
      <c r="F675" s="22"/>
      <c r="H675" s="22"/>
      <c r="K675" s="22"/>
      <c r="L675" t="str">
        <f t="shared" ca="1" si="10"/>
        <v/>
      </c>
    </row>
    <row r="676" spans="4:12" x14ac:dyDescent="0.25">
      <c r="D676" s="22"/>
      <c r="F676" s="22"/>
      <c r="H676" s="22"/>
      <c r="K676" s="22"/>
      <c r="L676" t="str">
        <f t="shared" ca="1" si="10"/>
        <v/>
      </c>
    </row>
    <row r="677" spans="4:12" x14ac:dyDescent="0.25">
      <c r="D677" s="22"/>
      <c r="F677" s="22"/>
      <c r="H677" s="22"/>
      <c r="K677" s="22"/>
      <c r="L677" t="str">
        <f t="shared" ca="1" si="10"/>
        <v/>
      </c>
    </row>
    <row r="678" spans="4:12" x14ac:dyDescent="0.25">
      <c r="D678" s="22"/>
      <c r="F678" s="22"/>
      <c r="H678" s="22"/>
      <c r="K678" s="22"/>
      <c r="L678" t="str">
        <f t="shared" ca="1" si="10"/>
        <v/>
      </c>
    </row>
    <row r="679" spans="4:12" x14ac:dyDescent="0.25">
      <c r="D679" s="22"/>
      <c r="F679" s="22"/>
      <c r="H679" s="22"/>
      <c r="K679" s="22"/>
      <c r="L679" t="str">
        <f t="shared" ca="1" si="10"/>
        <v/>
      </c>
    </row>
    <row r="680" spans="4:12" x14ac:dyDescent="0.25">
      <c r="D680" s="22"/>
      <c r="F680" s="22"/>
      <c r="H680" s="22"/>
      <c r="K680" s="22"/>
      <c r="L680" t="str">
        <f t="shared" ca="1" si="10"/>
        <v/>
      </c>
    </row>
    <row r="681" spans="4:12" x14ac:dyDescent="0.25">
      <c r="D681" s="22"/>
      <c r="F681" s="22"/>
      <c r="H681" s="22"/>
      <c r="K681" s="22"/>
      <c r="L681" t="str">
        <f t="shared" ca="1" si="10"/>
        <v/>
      </c>
    </row>
    <row r="682" spans="4:12" x14ac:dyDescent="0.25">
      <c r="D682" s="22"/>
      <c r="F682" s="22"/>
      <c r="H682" s="22"/>
      <c r="K682" s="22"/>
      <c r="L682" t="str">
        <f t="shared" ca="1" si="10"/>
        <v/>
      </c>
    </row>
    <row r="683" spans="4:12" x14ac:dyDescent="0.25">
      <c r="D683" s="22"/>
      <c r="F683" s="22"/>
      <c r="H683" s="22"/>
      <c r="K683" s="22"/>
      <c r="L683" t="str">
        <f t="shared" ca="1" si="10"/>
        <v/>
      </c>
    </row>
    <row r="684" spans="4:12" x14ac:dyDescent="0.25">
      <c r="D684" s="22"/>
      <c r="F684" s="22"/>
      <c r="H684" s="22"/>
      <c r="K684" s="22"/>
      <c r="L684" t="str">
        <f t="shared" ca="1" si="10"/>
        <v/>
      </c>
    </row>
    <row r="685" spans="4:12" x14ac:dyDescent="0.25">
      <c r="D685" s="22"/>
      <c r="F685" s="22"/>
      <c r="H685" s="22"/>
      <c r="K685" s="22"/>
      <c r="L685" t="str">
        <f t="shared" ca="1" si="10"/>
        <v/>
      </c>
    </row>
    <row r="686" spans="4:12" x14ac:dyDescent="0.25">
      <c r="D686" s="22"/>
      <c r="F686" s="22"/>
      <c r="H686" s="22"/>
      <c r="K686" s="22"/>
      <c r="L686" t="str">
        <f t="shared" ca="1" si="10"/>
        <v/>
      </c>
    </row>
    <row r="687" spans="4:12" x14ac:dyDescent="0.25">
      <c r="D687" s="22"/>
      <c r="F687" s="22"/>
      <c r="H687" s="22"/>
      <c r="K687" s="22"/>
      <c r="L687" t="str">
        <f t="shared" ca="1" si="10"/>
        <v/>
      </c>
    </row>
    <row r="688" spans="4:12" x14ac:dyDescent="0.25">
      <c r="D688" s="22"/>
      <c r="F688" s="22"/>
      <c r="H688" s="22"/>
      <c r="K688" s="22"/>
      <c r="L688" t="str">
        <f t="shared" ca="1" si="10"/>
        <v/>
      </c>
    </row>
    <row r="689" spans="4:12" x14ac:dyDescent="0.25">
      <c r="D689" s="22"/>
      <c r="F689" s="22"/>
      <c r="H689" s="22"/>
      <c r="K689" s="22"/>
      <c r="L689" t="str">
        <f t="shared" ca="1" si="10"/>
        <v/>
      </c>
    </row>
    <row r="690" spans="4:12" x14ac:dyDescent="0.25">
      <c r="D690" s="22"/>
      <c r="F690" s="22"/>
      <c r="H690" s="22"/>
      <c r="K690" s="22"/>
      <c r="L690" t="str">
        <f t="shared" ca="1" si="10"/>
        <v/>
      </c>
    </row>
    <row r="691" spans="4:12" x14ac:dyDescent="0.25">
      <c r="D691" s="22"/>
      <c r="F691" s="22"/>
      <c r="H691" s="22"/>
      <c r="K691" s="22"/>
      <c r="L691" t="str">
        <f t="shared" ca="1" si="10"/>
        <v/>
      </c>
    </row>
    <row r="692" spans="4:12" x14ac:dyDescent="0.25">
      <c r="D692" s="22"/>
      <c r="F692" s="22"/>
      <c r="H692" s="22"/>
      <c r="K692" s="22"/>
      <c r="L692" t="str">
        <f t="shared" ca="1" si="10"/>
        <v/>
      </c>
    </row>
    <row r="693" spans="4:12" x14ac:dyDescent="0.25">
      <c r="D693" s="22"/>
      <c r="F693" s="22"/>
      <c r="H693" s="22"/>
      <c r="K693" s="22"/>
      <c r="L693" t="str">
        <f t="shared" ca="1" si="10"/>
        <v/>
      </c>
    </row>
    <row r="694" spans="4:12" x14ac:dyDescent="0.25">
      <c r="D694" s="22"/>
      <c r="F694" s="22"/>
      <c r="H694" s="22"/>
      <c r="K694" s="22"/>
      <c r="L694" t="str">
        <f t="shared" ca="1" si="10"/>
        <v/>
      </c>
    </row>
    <row r="695" spans="4:12" x14ac:dyDescent="0.25">
      <c r="D695" s="22"/>
      <c r="F695" s="22"/>
      <c r="H695" s="22"/>
      <c r="K695" s="22"/>
      <c r="L695" t="str">
        <f t="shared" ca="1" si="10"/>
        <v/>
      </c>
    </row>
    <row r="696" spans="4:12" x14ac:dyDescent="0.25">
      <c r="D696" s="22"/>
      <c r="F696" s="22"/>
      <c r="H696" s="22"/>
      <c r="K696" s="22"/>
      <c r="L696" t="str">
        <f t="shared" ca="1" si="10"/>
        <v/>
      </c>
    </row>
    <row r="697" spans="4:12" x14ac:dyDescent="0.25">
      <c r="D697" s="22"/>
      <c r="F697" s="22"/>
      <c r="H697" s="22"/>
      <c r="K697" s="22"/>
      <c r="L697" t="str">
        <f t="shared" ca="1" si="10"/>
        <v/>
      </c>
    </row>
    <row r="698" spans="4:12" x14ac:dyDescent="0.25">
      <c r="D698" s="22"/>
      <c r="F698" s="22"/>
      <c r="H698" s="22"/>
      <c r="K698" s="22"/>
      <c r="L698" t="str">
        <f t="shared" ca="1" si="10"/>
        <v/>
      </c>
    </row>
    <row r="699" spans="4:12" x14ac:dyDescent="0.25">
      <c r="D699" s="22"/>
      <c r="F699" s="22"/>
      <c r="H699" s="22"/>
      <c r="K699" s="22"/>
      <c r="L699" t="str">
        <f t="shared" ca="1" si="10"/>
        <v/>
      </c>
    </row>
    <row r="700" spans="4:12" x14ac:dyDescent="0.25">
      <c r="D700" s="22"/>
      <c r="F700" s="22"/>
      <c r="H700" s="22"/>
      <c r="K700" s="22"/>
      <c r="L700" t="str">
        <f t="shared" ca="1" si="10"/>
        <v/>
      </c>
    </row>
    <row r="701" spans="4:12" x14ac:dyDescent="0.25">
      <c r="D701" s="22"/>
      <c r="F701" s="22"/>
      <c r="H701" s="22"/>
      <c r="K701" s="22"/>
      <c r="L701" t="str">
        <f t="shared" ca="1" si="10"/>
        <v/>
      </c>
    </row>
    <row r="702" spans="4:12" x14ac:dyDescent="0.25">
      <c r="D702" s="22"/>
      <c r="F702" s="22"/>
      <c r="H702" s="22"/>
      <c r="K702" s="22"/>
      <c r="L702" t="str">
        <f t="shared" ca="1" si="10"/>
        <v/>
      </c>
    </row>
    <row r="703" spans="4:12" x14ac:dyDescent="0.25">
      <c r="D703" s="22"/>
      <c r="F703" s="22"/>
      <c r="H703" s="22"/>
      <c r="K703" s="22"/>
      <c r="L703" t="str">
        <f t="shared" ca="1" si="10"/>
        <v/>
      </c>
    </row>
    <row r="704" spans="4:12" x14ac:dyDescent="0.25">
      <c r="D704" s="22"/>
      <c r="F704" s="22"/>
      <c r="H704" s="22"/>
      <c r="K704" s="22"/>
      <c r="L704" t="str">
        <f t="shared" ca="1" si="10"/>
        <v/>
      </c>
    </row>
    <row r="705" spans="4:12" x14ac:dyDescent="0.25">
      <c r="D705" s="22"/>
      <c r="F705" s="22"/>
      <c r="H705" s="22"/>
      <c r="K705" s="22"/>
      <c r="L705" t="str">
        <f t="shared" ca="1" si="10"/>
        <v/>
      </c>
    </row>
    <row r="706" spans="4:12" x14ac:dyDescent="0.25">
      <c r="D706" s="22"/>
      <c r="F706" s="22"/>
      <c r="H706" s="22"/>
      <c r="K706" s="22"/>
      <c r="L706" t="str">
        <f t="shared" ref="L706:L769" ca="1" si="11">IF(A706="","",IF(OR(E706="Contratado",E706="Descartado",E706="Retirado",G706="No Contesta (Intento 3 - Final)",G706="Datos Erróneos"),"Cerrado",IF(K706="","Sin Fecha Programada",IF(K706&lt;TODAY(),"VENCIDO",IF(K706=TODAY(),"HOY","En Plazo")))))</f>
        <v/>
      </c>
    </row>
    <row r="707" spans="4:12" x14ac:dyDescent="0.25">
      <c r="D707" s="22"/>
      <c r="F707" s="22"/>
      <c r="H707" s="22"/>
      <c r="K707" s="22"/>
      <c r="L707" t="str">
        <f t="shared" ca="1" si="11"/>
        <v/>
      </c>
    </row>
    <row r="708" spans="4:12" x14ac:dyDescent="0.25">
      <c r="D708" s="22"/>
      <c r="F708" s="22"/>
      <c r="H708" s="22"/>
      <c r="K708" s="22"/>
      <c r="L708" t="str">
        <f t="shared" ca="1" si="11"/>
        <v/>
      </c>
    </row>
    <row r="709" spans="4:12" x14ac:dyDescent="0.25">
      <c r="D709" s="22"/>
      <c r="F709" s="22"/>
      <c r="H709" s="22"/>
      <c r="K709" s="22"/>
      <c r="L709" t="str">
        <f t="shared" ca="1" si="11"/>
        <v/>
      </c>
    </row>
    <row r="710" spans="4:12" x14ac:dyDescent="0.25">
      <c r="D710" s="22"/>
      <c r="F710" s="22"/>
      <c r="H710" s="22"/>
      <c r="K710" s="22"/>
      <c r="L710" t="str">
        <f t="shared" ca="1" si="11"/>
        <v/>
      </c>
    </row>
    <row r="711" spans="4:12" x14ac:dyDescent="0.25">
      <c r="D711" s="22"/>
      <c r="F711" s="22"/>
      <c r="H711" s="22"/>
      <c r="K711" s="22"/>
      <c r="L711" t="str">
        <f t="shared" ca="1" si="11"/>
        <v/>
      </c>
    </row>
    <row r="712" spans="4:12" x14ac:dyDescent="0.25">
      <c r="D712" s="22"/>
      <c r="F712" s="22"/>
      <c r="H712" s="22"/>
      <c r="K712" s="22"/>
      <c r="L712" t="str">
        <f t="shared" ca="1" si="11"/>
        <v/>
      </c>
    </row>
    <row r="713" spans="4:12" x14ac:dyDescent="0.25">
      <c r="D713" s="22"/>
      <c r="F713" s="22"/>
      <c r="H713" s="22"/>
      <c r="K713" s="22"/>
      <c r="L713" t="str">
        <f t="shared" ca="1" si="11"/>
        <v/>
      </c>
    </row>
    <row r="714" spans="4:12" x14ac:dyDescent="0.25">
      <c r="D714" s="22"/>
      <c r="F714" s="22"/>
      <c r="H714" s="22"/>
      <c r="K714" s="22"/>
      <c r="L714" t="str">
        <f t="shared" ca="1" si="11"/>
        <v/>
      </c>
    </row>
    <row r="715" spans="4:12" x14ac:dyDescent="0.25">
      <c r="D715" s="22"/>
      <c r="F715" s="22"/>
      <c r="H715" s="22"/>
      <c r="K715" s="22"/>
      <c r="L715" t="str">
        <f t="shared" ca="1" si="11"/>
        <v/>
      </c>
    </row>
    <row r="716" spans="4:12" x14ac:dyDescent="0.25">
      <c r="D716" s="22"/>
      <c r="F716" s="22"/>
      <c r="H716" s="22"/>
      <c r="K716" s="22"/>
      <c r="L716" t="str">
        <f t="shared" ca="1" si="11"/>
        <v/>
      </c>
    </row>
    <row r="717" spans="4:12" x14ac:dyDescent="0.25">
      <c r="D717" s="22"/>
      <c r="F717" s="22"/>
      <c r="H717" s="22"/>
      <c r="K717" s="22"/>
      <c r="L717" t="str">
        <f t="shared" ca="1" si="11"/>
        <v/>
      </c>
    </row>
    <row r="718" spans="4:12" x14ac:dyDescent="0.25">
      <c r="D718" s="22"/>
      <c r="F718" s="22"/>
      <c r="H718" s="22"/>
      <c r="K718" s="22"/>
      <c r="L718" t="str">
        <f t="shared" ca="1" si="11"/>
        <v/>
      </c>
    </row>
    <row r="719" spans="4:12" x14ac:dyDescent="0.25">
      <c r="D719" s="22"/>
      <c r="F719" s="22"/>
      <c r="H719" s="22"/>
      <c r="K719" s="22"/>
      <c r="L719" t="str">
        <f t="shared" ca="1" si="11"/>
        <v/>
      </c>
    </row>
    <row r="720" spans="4:12" x14ac:dyDescent="0.25">
      <c r="D720" s="22"/>
      <c r="F720" s="22"/>
      <c r="H720" s="22"/>
      <c r="K720" s="22"/>
      <c r="L720" t="str">
        <f t="shared" ca="1" si="11"/>
        <v/>
      </c>
    </row>
    <row r="721" spans="4:12" x14ac:dyDescent="0.25">
      <c r="D721" s="22"/>
      <c r="F721" s="22"/>
      <c r="H721" s="22"/>
      <c r="K721" s="22"/>
      <c r="L721" t="str">
        <f t="shared" ca="1" si="11"/>
        <v/>
      </c>
    </row>
    <row r="722" spans="4:12" x14ac:dyDescent="0.25">
      <c r="D722" s="22"/>
      <c r="F722" s="22"/>
      <c r="H722" s="22"/>
      <c r="K722" s="22"/>
      <c r="L722" t="str">
        <f t="shared" ca="1" si="11"/>
        <v/>
      </c>
    </row>
    <row r="723" spans="4:12" x14ac:dyDescent="0.25">
      <c r="D723" s="22"/>
      <c r="F723" s="22"/>
      <c r="H723" s="22"/>
      <c r="K723" s="22"/>
      <c r="L723" t="str">
        <f t="shared" ca="1" si="11"/>
        <v/>
      </c>
    </row>
    <row r="724" spans="4:12" x14ac:dyDescent="0.25">
      <c r="D724" s="22"/>
      <c r="F724" s="22"/>
      <c r="H724" s="22"/>
      <c r="K724" s="22"/>
      <c r="L724" t="str">
        <f t="shared" ca="1" si="11"/>
        <v/>
      </c>
    </row>
    <row r="725" spans="4:12" x14ac:dyDescent="0.25">
      <c r="D725" s="22"/>
      <c r="F725" s="22"/>
      <c r="H725" s="22"/>
      <c r="K725" s="22"/>
      <c r="L725" t="str">
        <f t="shared" ca="1" si="11"/>
        <v/>
      </c>
    </row>
    <row r="726" spans="4:12" x14ac:dyDescent="0.25">
      <c r="D726" s="22"/>
      <c r="F726" s="22"/>
      <c r="H726" s="22"/>
      <c r="K726" s="22"/>
      <c r="L726" t="str">
        <f t="shared" ca="1" si="11"/>
        <v/>
      </c>
    </row>
    <row r="727" spans="4:12" x14ac:dyDescent="0.25">
      <c r="D727" s="22"/>
      <c r="F727" s="22"/>
      <c r="H727" s="22"/>
      <c r="K727" s="22"/>
      <c r="L727" t="str">
        <f t="shared" ca="1" si="11"/>
        <v/>
      </c>
    </row>
    <row r="728" spans="4:12" x14ac:dyDescent="0.25">
      <c r="D728" s="22"/>
      <c r="F728" s="22"/>
      <c r="H728" s="22"/>
      <c r="K728" s="22"/>
      <c r="L728" t="str">
        <f t="shared" ca="1" si="11"/>
        <v/>
      </c>
    </row>
    <row r="729" spans="4:12" x14ac:dyDescent="0.25">
      <c r="D729" s="22"/>
      <c r="F729" s="22"/>
      <c r="H729" s="22"/>
      <c r="K729" s="22"/>
      <c r="L729" t="str">
        <f t="shared" ca="1" si="11"/>
        <v/>
      </c>
    </row>
    <row r="730" spans="4:12" x14ac:dyDescent="0.25">
      <c r="D730" s="22"/>
      <c r="F730" s="22"/>
      <c r="H730" s="22"/>
      <c r="K730" s="22"/>
      <c r="L730" t="str">
        <f t="shared" ca="1" si="11"/>
        <v/>
      </c>
    </row>
    <row r="731" spans="4:12" x14ac:dyDescent="0.25">
      <c r="D731" s="22"/>
      <c r="F731" s="22"/>
      <c r="H731" s="22"/>
      <c r="K731" s="22"/>
      <c r="L731" t="str">
        <f t="shared" ca="1" si="11"/>
        <v/>
      </c>
    </row>
    <row r="732" spans="4:12" x14ac:dyDescent="0.25">
      <c r="D732" s="22"/>
      <c r="F732" s="22"/>
      <c r="H732" s="22"/>
      <c r="K732" s="22"/>
      <c r="L732" t="str">
        <f t="shared" ca="1" si="11"/>
        <v/>
      </c>
    </row>
    <row r="733" spans="4:12" x14ac:dyDescent="0.25">
      <c r="D733" s="22"/>
      <c r="F733" s="22"/>
      <c r="H733" s="22"/>
      <c r="K733" s="22"/>
      <c r="L733" t="str">
        <f t="shared" ca="1" si="11"/>
        <v/>
      </c>
    </row>
    <row r="734" spans="4:12" x14ac:dyDescent="0.25">
      <c r="D734" s="22"/>
      <c r="F734" s="22"/>
      <c r="H734" s="22"/>
      <c r="K734" s="22"/>
      <c r="L734" t="str">
        <f t="shared" ca="1" si="11"/>
        <v/>
      </c>
    </row>
    <row r="735" spans="4:12" x14ac:dyDescent="0.25">
      <c r="D735" s="22"/>
      <c r="F735" s="22"/>
      <c r="H735" s="22"/>
      <c r="K735" s="22"/>
      <c r="L735" t="str">
        <f t="shared" ca="1" si="11"/>
        <v/>
      </c>
    </row>
    <row r="736" spans="4:12" x14ac:dyDescent="0.25">
      <c r="D736" s="22"/>
      <c r="F736" s="22"/>
      <c r="H736" s="22"/>
      <c r="K736" s="22"/>
      <c r="L736" t="str">
        <f t="shared" ca="1" si="11"/>
        <v/>
      </c>
    </row>
    <row r="737" spans="4:12" x14ac:dyDescent="0.25">
      <c r="D737" s="22"/>
      <c r="F737" s="22"/>
      <c r="H737" s="22"/>
      <c r="K737" s="22"/>
      <c r="L737" t="str">
        <f t="shared" ca="1" si="11"/>
        <v/>
      </c>
    </row>
    <row r="738" spans="4:12" x14ac:dyDescent="0.25">
      <c r="D738" s="22"/>
      <c r="F738" s="22"/>
      <c r="H738" s="22"/>
      <c r="K738" s="22"/>
      <c r="L738" t="str">
        <f t="shared" ca="1" si="11"/>
        <v/>
      </c>
    </row>
    <row r="739" spans="4:12" x14ac:dyDescent="0.25">
      <c r="D739" s="22"/>
      <c r="F739" s="22"/>
      <c r="H739" s="22"/>
      <c r="K739" s="22"/>
      <c r="L739" t="str">
        <f t="shared" ca="1" si="11"/>
        <v/>
      </c>
    </row>
    <row r="740" spans="4:12" x14ac:dyDescent="0.25">
      <c r="D740" s="22"/>
      <c r="F740" s="22"/>
      <c r="H740" s="22"/>
      <c r="K740" s="22"/>
      <c r="L740" t="str">
        <f t="shared" ca="1" si="11"/>
        <v/>
      </c>
    </row>
    <row r="741" spans="4:12" x14ac:dyDescent="0.25">
      <c r="D741" s="22"/>
      <c r="F741" s="22"/>
      <c r="H741" s="22"/>
      <c r="K741" s="22"/>
      <c r="L741" t="str">
        <f t="shared" ca="1" si="11"/>
        <v/>
      </c>
    </row>
    <row r="742" spans="4:12" x14ac:dyDescent="0.25">
      <c r="D742" s="22"/>
      <c r="F742" s="22"/>
      <c r="H742" s="22"/>
      <c r="K742" s="22"/>
      <c r="L742" t="str">
        <f t="shared" ca="1" si="11"/>
        <v/>
      </c>
    </row>
    <row r="743" spans="4:12" x14ac:dyDescent="0.25">
      <c r="D743" s="22"/>
      <c r="F743" s="22"/>
      <c r="H743" s="22"/>
      <c r="K743" s="22"/>
      <c r="L743" t="str">
        <f t="shared" ca="1" si="11"/>
        <v/>
      </c>
    </row>
    <row r="744" spans="4:12" x14ac:dyDescent="0.25">
      <c r="D744" s="22"/>
      <c r="F744" s="22"/>
      <c r="H744" s="22"/>
      <c r="K744" s="22"/>
      <c r="L744" t="str">
        <f t="shared" ca="1" si="11"/>
        <v/>
      </c>
    </row>
    <row r="745" spans="4:12" x14ac:dyDescent="0.25">
      <c r="D745" s="22"/>
      <c r="F745" s="22"/>
      <c r="H745" s="22"/>
      <c r="K745" s="22"/>
      <c r="L745" t="str">
        <f t="shared" ca="1" si="11"/>
        <v/>
      </c>
    </row>
    <row r="746" spans="4:12" x14ac:dyDescent="0.25">
      <c r="D746" s="22"/>
      <c r="F746" s="22"/>
      <c r="H746" s="22"/>
      <c r="K746" s="22"/>
      <c r="L746" t="str">
        <f t="shared" ca="1" si="11"/>
        <v/>
      </c>
    </row>
    <row r="747" spans="4:12" x14ac:dyDescent="0.25">
      <c r="D747" s="22"/>
      <c r="F747" s="22"/>
      <c r="H747" s="22"/>
      <c r="K747" s="22"/>
      <c r="L747" t="str">
        <f t="shared" ca="1" si="11"/>
        <v/>
      </c>
    </row>
    <row r="748" spans="4:12" x14ac:dyDescent="0.25">
      <c r="D748" s="22"/>
      <c r="F748" s="22"/>
      <c r="H748" s="22"/>
      <c r="K748" s="22"/>
      <c r="L748" t="str">
        <f t="shared" ca="1" si="11"/>
        <v/>
      </c>
    </row>
    <row r="749" spans="4:12" x14ac:dyDescent="0.25">
      <c r="D749" s="22"/>
      <c r="F749" s="22"/>
      <c r="H749" s="22"/>
      <c r="K749" s="22"/>
      <c r="L749" t="str">
        <f t="shared" ca="1" si="11"/>
        <v/>
      </c>
    </row>
    <row r="750" spans="4:12" x14ac:dyDescent="0.25">
      <c r="D750" s="22"/>
      <c r="F750" s="22"/>
      <c r="H750" s="22"/>
      <c r="K750" s="22"/>
      <c r="L750" t="str">
        <f t="shared" ca="1" si="11"/>
        <v/>
      </c>
    </row>
    <row r="751" spans="4:12" x14ac:dyDescent="0.25">
      <c r="D751" s="22"/>
      <c r="F751" s="22"/>
      <c r="H751" s="22"/>
      <c r="K751" s="22"/>
      <c r="L751" t="str">
        <f t="shared" ca="1" si="11"/>
        <v/>
      </c>
    </row>
    <row r="752" spans="4:12" x14ac:dyDescent="0.25">
      <c r="D752" s="22"/>
      <c r="F752" s="22"/>
      <c r="H752" s="22"/>
      <c r="K752" s="22"/>
      <c r="L752" t="str">
        <f t="shared" ca="1" si="11"/>
        <v/>
      </c>
    </row>
    <row r="753" spans="4:12" x14ac:dyDescent="0.25">
      <c r="D753" s="22"/>
      <c r="F753" s="22"/>
      <c r="H753" s="22"/>
      <c r="K753" s="22"/>
      <c r="L753" t="str">
        <f t="shared" ca="1" si="11"/>
        <v/>
      </c>
    </row>
    <row r="754" spans="4:12" x14ac:dyDescent="0.25">
      <c r="D754" s="22"/>
      <c r="F754" s="22"/>
      <c r="H754" s="22"/>
      <c r="K754" s="22"/>
      <c r="L754" t="str">
        <f t="shared" ca="1" si="11"/>
        <v/>
      </c>
    </row>
    <row r="755" spans="4:12" x14ac:dyDescent="0.25">
      <c r="D755" s="22"/>
      <c r="F755" s="22"/>
      <c r="H755" s="22"/>
      <c r="K755" s="22"/>
      <c r="L755" t="str">
        <f t="shared" ca="1" si="11"/>
        <v/>
      </c>
    </row>
    <row r="756" spans="4:12" x14ac:dyDescent="0.25">
      <c r="D756" s="22"/>
      <c r="F756" s="22"/>
      <c r="H756" s="22"/>
      <c r="K756" s="22"/>
      <c r="L756" t="str">
        <f t="shared" ca="1" si="11"/>
        <v/>
      </c>
    </row>
    <row r="757" spans="4:12" x14ac:dyDescent="0.25">
      <c r="D757" s="22"/>
      <c r="F757" s="22"/>
      <c r="H757" s="22"/>
      <c r="K757" s="22"/>
      <c r="L757" t="str">
        <f t="shared" ca="1" si="11"/>
        <v/>
      </c>
    </row>
    <row r="758" spans="4:12" x14ac:dyDescent="0.25">
      <c r="D758" s="22"/>
      <c r="F758" s="22"/>
      <c r="H758" s="22"/>
      <c r="K758" s="22"/>
      <c r="L758" t="str">
        <f t="shared" ca="1" si="11"/>
        <v/>
      </c>
    </row>
    <row r="759" spans="4:12" x14ac:dyDescent="0.25">
      <c r="D759" s="22"/>
      <c r="F759" s="22"/>
      <c r="H759" s="22"/>
      <c r="K759" s="22"/>
      <c r="L759" t="str">
        <f t="shared" ca="1" si="11"/>
        <v/>
      </c>
    </row>
    <row r="760" spans="4:12" x14ac:dyDescent="0.25">
      <c r="D760" s="22"/>
      <c r="F760" s="22"/>
      <c r="H760" s="22"/>
      <c r="K760" s="22"/>
      <c r="L760" t="str">
        <f t="shared" ca="1" si="11"/>
        <v/>
      </c>
    </row>
    <row r="761" spans="4:12" x14ac:dyDescent="0.25">
      <c r="D761" s="22"/>
      <c r="F761" s="22"/>
      <c r="H761" s="22"/>
      <c r="K761" s="22"/>
      <c r="L761" t="str">
        <f t="shared" ca="1" si="11"/>
        <v/>
      </c>
    </row>
    <row r="762" spans="4:12" x14ac:dyDescent="0.25">
      <c r="D762" s="22"/>
      <c r="F762" s="22"/>
      <c r="H762" s="22"/>
      <c r="K762" s="22"/>
      <c r="L762" t="str">
        <f t="shared" ca="1" si="11"/>
        <v/>
      </c>
    </row>
    <row r="763" spans="4:12" x14ac:dyDescent="0.25">
      <c r="D763" s="22"/>
      <c r="F763" s="22"/>
      <c r="H763" s="22"/>
      <c r="K763" s="22"/>
      <c r="L763" t="str">
        <f t="shared" ca="1" si="11"/>
        <v/>
      </c>
    </row>
    <row r="764" spans="4:12" x14ac:dyDescent="0.25">
      <c r="D764" s="22"/>
      <c r="F764" s="22"/>
      <c r="H764" s="22"/>
      <c r="K764" s="22"/>
      <c r="L764" t="str">
        <f t="shared" ca="1" si="11"/>
        <v/>
      </c>
    </row>
    <row r="765" spans="4:12" x14ac:dyDescent="0.25">
      <c r="D765" s="22"/>
      <c r="F765" s="22"/>
      <c r="H765" s="22"/>
      <c r="K765" s="22"/>
      <c r="L765" t="str">
        <f t="shared" ca="1" si="11"/>
        <v/>
      </c>
    </row>
    <row r="766" spans="4:12" x14ac:dyDescent="0.25">
      <c r="D766" s="22"/>
      <c r="F766" s="22"/>
      <c r="H766" s="22"/>
      <c r="K766" s="22"/>
      <c r="L766" t="str">
        <f t="shared" ca="1" si="11"/>
        <v/>
      </c>
    </row>
    <row r="767" spans="4:12" x14ac:dyDescent="0.25">
      <c r="D767" s="22"/>
      <c r="F767" s="22"/>
      <c r="H767" s="22"/>
      <c r="K767" s="22"/>
      <c r="L767" t="str">
        <f t="shared" ca="1" si="11"/>
        <v/>
      </c>
    </row>
    <row r="768" spans="4:12" x14ac:dyDescent="0.25">
      <c r="D768" s="22"/>
      <c r="F768" s="22"/>
      <c r="H768" s="22"/>
      <c r="K768" s="22"/>
      <c r="L768" t="str">
        <f t="shared" ca="1" si="11"/>
        <v/>
      </c>
    </row>
    <row r="769" spans="4:12" x14ac:dyDescent="0.25">
      <c r="D769" s="22"/>
      <c r="F769" s="22"/>
      <c r="H769" s="22"/>
      <c r="K769" s="22"/>
      <c r="L769" t="str">
        <f t="shared" ca="1" si="11"/>
        <v/>
      </c>
    </row>
    <row r="770" spans="4:12" x14ac:dyDescent="0.25">
      <c r="D770" s="22"/>
      <c r="F770" s="22"/>
      <c r="H770" s="22"/>
      <c r="K770" s="22"/>
      <c r="L770" t="str">
        <f t="shared" ref="L770:L833" ca="1" si="12">IF(A770="","",IF(OR(E770="Contratado",E770="Descartado",E770="Retirado",G770="No Contesta (Intento 3 - Final)",G770="Datos Erróneos"),"Cerrado",IF(K770="","Sin Fecha Programada",IF(K770&lt;TODAY(),"VENCIDO",IF(K770=TODAY(),"HOY","En Plazo")))))</f>
        <v/>
      </c>
    </row>
    <row r="771" spans="4:12" x14ac:dyDescent="0.25">
      <c r="D771" s="22"/>
      <c r="F771" s="22"/>
      <c r="H771" s="22"/>
      <c r="K771" s="22"/>
      <c r="L771" t="str">
        <f t="shared" ca="1" si="12"/>
        <v/>
      </c>
    </row>
    <row r="772" spans="4:12" x14ac:dyDescent="0.25">
      <c r="D772" s="22"/>
      <c r="F772" s="22"/>
      <c r="H772" s="22"/>
      <c r="K772" s="22"/>
      <c r="L772" t="str">
        <f t="shared" ca="1" si="12"/>
        <v/>
      </c>
    </row>
    <row r="773" spans="4:12" x14ac:dyDescent="0.25">
      <c r="D773" s="22"/>
      <c r="F773" s="22"/>
      <c r="H773" s="22"/>
      <c r="K773" s="22"/>
      <c r="L773" t="str">
        <f t="shared" ca="1" si="12"/>
        <v/>
      </c>
    </row>
    <row r="774" spans="4:12" x14ac:dyDescent="0.25">
      <c r="D774" s="22"/>
      <c r="F774" s="22"/>
      <c r="H774" s="22"/>
      <c r="K774" s="22"/>
      <c r="L774" t="str">
        <f t="shared" ca="1" si="12"/>
        <v/>
      </c>
    </row>
    <row r="775" spans="4:12" x14ac:dyDescent="0.25">
      <c r="D775" s="22"/>
      <c r="F775" s="22"/>
      <c r="H775" s="22"/>
      <c r="K775" s="22"/>
      <c r="L775" t="str">
        <f t="shared" ca="1" si="12"/>
        <v/>
      </c>
    </row>
    <row r="776" spans="4:12" x14ac:dyDescent="0.25">
      <c r="D776" s="22"/>
      <c r="F776" s="22"/>
      <c r="H776" s="22"/>
      <c r="K776" s="22"/>
      <c r="L776" t="str">
        <f t="shared" ca="1" si="12"/>
        <v/>
      </c>
    </row>
    <row r="777" spans="4:12" x14ac:dyDescent="0.25">
      <c r="D777" s="22"/>
      <c r="F777" s="22"/>
      <c r="H777" s="22"/>
      <c r="K777" s="22"/>
      <c r="L777" t="str">
        <f t="shared" ca="1" si="12"/>
        <v/>
      </c>
    </row>
    <row r="778" spans="4:12" x14ac:dyDescent="0.25">
      <c r="D778" s="22"/>
      <c r="F778" s="22"/>
      <c r="H778" s="22"/>
      <c r="K778" s="22"/>
      <c r="L778" t="str">
        <f t="shared" ca="1" si="12"/>
        <v/>
      </c>
    </row>
    <row r="779" spans="4:12" x14ac:dyDescent="0.25">
      <c r="D779" s="22"/>
      <c r="F779" s="22"/>
      <c r="H779" s="22"/>
      <c r="K779" s="22"/>
      <c r="L779" t="str">
        <f t="shared" ca="1" si="12"/>
        <v/>
      </c>
    </row>
    <row r="780" spans="4:12" x14ac:dyDescent="0.25">
      <c r="D780" s="22"/>
      <c r="F780" s="22"/>
      <c r="H780" s="22"/>
      <c r="K780" s="22"/>
      <c r="L780" t="str">
        <f t="shared" ca="1" si="12"/>
        <v/>
      </c>
    </row>
    <row r="781" spans="4:12" x14ac:dyDescent="0.25">
      <c r="D781" s="22"/>
      <c r="F781" s="22"/>
      <c r="H781" s="22"/>
      <c r="K781" s="22"/>
      <c r="L781" t="str">
        <f t="shared" ca="1" si="12"/>
        <v/>
      </c>
    </row>
    <row r="782" spans="4:12" x14ac:dyDescent="0.25">
      <c r="D782" s="22"/>
      <c r="F782" s="22"/>
      <c r="H782" s="22"/>
      <c r="K782" s="22"/>
      <c r="L782" t="str">
        <f t="shared" ca="1" si="12"/>
        <v/>
      </c>
    </row>
    <row r="783" spans="4:12" x14ac:dyDescent="0.25">
      <c r="D783" s="22"/>
      <c r="F783" s="22"/>
      <c r="H783" s="22"/>
      <c r="K783" s="22"/>
      <c r="L783" t="str">
        <f t="shared" ca="1" si="12"/>
        <v/>
      </c>
    </row>
    <row r="784" spans="4:12" x14ac:dyDescent="0.25">
      <c r="D784" s="22"/>
      <c r="F784" s="22"/>
      <c r="H784" s="22"/>
      <c r="K784" s="22"/>
      <c r="L784" t="str">
        <f t="shared" ca="1" si="12"/>
        <v/>
      </c>
    </row>
    <row r="785" spans="4:12" x14ac:dyDescent="0.25">
      <c r="D785" s="22"/>
      <c r="F785" s="22"/>
      <c r="H785" s="22"/>
      <c r="K785" s="22"/>
      <c r="L785" t="str">
        <f t="shared" ca="1" si="12"/>
        <v/>
      </c>
    </row>
    <row r="786" spans="4:12" x14ac:dyDescent="0.25">
      <c r="D786" s="22"/>
      <c r="F786" s="22"/>
      <c r="H786" s="22"/>
      <c r="K786" s="22"/>
      <c r="L786" t="str">
        <f t="shared" ca="1" si="12"/>
        <v/>
      </c>
    </row>
    <row r="787" spans="4:12" x14ac:dyDescent="0.25">
      <c r="D787" s="22"/>
      <c r="F787" s="22"/>
      <c r="H787" s="22"/>
      <c r="K787" s="22"/>
      <c r="L787" t="str">
        <f t="shared" ca="1" si="12"/>
        <v/>
      </c>
    </row>
    <row r="788" spans="4:12" x14ac:dyDescent="0.25">
      <c r="D788" s="22"/>
      <c r="F788" s="22"/>
      <c r="H788" s="22"/>
      <c r="K788" s="22"/>
      <c r="L788" t="str">
        <f t="shared" ca="1" si="12"/>
        <v/>
      </c>
    </row>
    <row r="789" spans="4:12" x14ac:dyDescent="0.25">
      <c r="D789" s="22"/>
      <c r="F789" s="22"/>
      <c r="H789" s="22"/>
      <c r="K789" s="22"/>
      <c r="L789" t="str">
        <f t="shared" ca="1" si="12"/>
        <v/>
      </c>
    </row>
    <row r="790" spans="4:12" x14ac:dyDescent="0.25">
      <c r="D790" s="22"/>
      <c r="F790" s="22"/>
      <c r="H790" s="22"/>
      <c r="K790" s="22"/>
      <c r="L790" t="str">
        <f t="shared" ca="1" si="12"/>
        <v/>
      </c>
    </row>
    <row r="791" spans="4:12" x14ac:dyDescent="0.25">
      <c r="D791" s="22"/>
      <c r="F791" s="22"/>
      <c r="H791" s="22"/>
      <c r="K791" s="22"/>
      <c r="L791" t="str">
        <f t="shared" ca="1" si="12"/>
        <v/>
      </c>
    </row>
    <row r="792" spans="4:12" x14ac:dyDescent="0.25">
      <c r="D792" s="22"/>
      <c r="F792" s="22"/>
      <c r="H792" s="22"/>
      <c r="K792" s="22"/>
      <c r="L792" t="str">
        <f t="shared" ca="1" si="12"/>
        <v/>
      </c>
    </row>
    <row r="793" spans="4:12" x14ac:dyDescent="0.25">
      <c r="D793" s="22"/>
      <c r="F793" s="22"/>
      <c r="H793" s="22"/>
      <c r="K793" s="22"/>
      <c r="L793" t="str">
        <f t="shared" ca="1" si="12"/>
        <v/>
      </c>
    </row>
    <row r="794" spans="4:12" x14ac:dyDescent="0.25">
      <c r="D794" s="22"/>
      <c r="F794" s="22"/>
      <c r="H794" s="22"/>
      <c r="K794" s="22"/>
      <c r="L794" t="str">
        <f t="shared" ca="1" si="12"/>
        <v/>
      </c>
    </row>
    <row r="795" spans="4:12" x14ac:dyDescent="0.25">
      <c r="D795" s="22"/>
      <c r="F795" s="22"/>
      <c r="H795" s="22"/>
      <c r="K795" s="22"/>
      <c r="L795" t="str">
        <f t="shared" ca="1" si="12"/>
        <v/>
      </c>
    </row>
    <row r="796" spans="4:12" x14ac:dyDescent="0.25">
      <c r="D796" s="22"/>
      <c r="F796" s="22"/>
      <c r="H796" s="22"/>
      <c r="K796" s="22"/>
      <c r="L796" t="str">
        <f t="shared" ca="1" si="12"/>
        <v/>
      </c>
    </row>
    <row r="797" spans="4:12" x14ac:dyDescent="0.25">
      <c r="D797" s="22"/>
      <c r="F797" s="22"/>
      <c r="H797" s="22"/>
      <c r="K797" s="22"/>
      <c r="L797" t="str">
        <f t="shared" ca="1" si="12"/>
        <v/>
      </c>
    </row>
    <row r="798" spans="4:12" x14ac:dyDescent="0.25">
      <c r="D798" s="22"/>
      <c r="F798" s="22"/>
      <c r="H798" s="22"/>
      <c r="K798" s="22"/>
      <c r="L798" t="str">
        <f t="shared" ca="1" si="12"/>
        <v/>
      </c>
    </row>
    <row r="799" spans="4:12" x14ac:dyDescent="0.25">
      <c r="D799" s="22"/>
      <c r="F799" s="22"/>
      <c r="H799" s="22"/>
      <c r="K799" s="22"/>
      <c r="L799" t="str">
        <f t="shared" ca="1" si="12"/>
        <v/>
      </c>
    </row>
    <row r="800" spans="4:12" x14ac:dyDescent="0.25">
      <c r="D800" s="22"/>
      <c r="F800" s="22"/>
      <c r="H800" s="22"/>
      <c r="K800" s="22"/>
      <c r="L800" t="str">
        <f t="shared" ca="1" si="12"/>
        <v/>
      </c>
    </row>
    <row r="801" spans="4:12" x14ac:dyDescent="0.25">
      <c r="D801" s="22"/>
      <c r="F801" s="22"/>
      <c r="H801" s="22"/>
      <c r="K801" s="22"/>
      <c r="L801" t="str">
        <f t="shared" ca="1" si="12"/>
        <v/>
      </c>
    </row>
    <row r="802" spans="4:12" x14ac:dyDescent="0.25">
      <c r="D802" s="22"/>
      <c r="F802" s="22"/>
      <c r="H802" s="22"/>
      <c r="K802" s="22"/>
      <c r="L802" t="str">
        <f t="shared" ca="1" si="12"/>
        <v/>
      </c>
    </row>
    <row r="803" spans="4:12" x14ac:dyDescent="0.25">
      <c r="D803" s="22"/>
      <c r="F803" s="22"/>
      <c r="H803" s="22"/>
      <c r="K803" s="22"/>
      <c r="L803" t="str">
        <f t="shared" ca="1" si="12"/>
        <v/>
      </c>
    </row>
    <row r="804" spans="4:12" x14ac:dyDescent="0.25">
      <c r="D804" s="22"/>
      <c r="F804" s="22"/>
      <c r="H804" s="22"/>
      <c r="K804" s="22"/>
      <c r="L804" t="str">
        <f t="shared" ca="1" si="12"/>
        <v/>
      </c>
    </row>
    <row r="805" spans="4:12" x14ac:dyDescent="0.25">
      <c r="D805" s="22"/>
      <c r="F805" s="22"/>
      <c r="H805" s="22"/>
      <c r="K805" s="22"/>
      <c r="L805" t="str">
        <f t="shared" ca="1" si="12"/>
        <v/>
      </c>
    </row>
    <row r="806" spans="4:12" x14ac:dyDescent="0.25">
      <c r="D806" s="22"/>
      <c r="F806" s="22"/>
      <c r="H806" s="22"/>
      <c r="K806" s="22"/>
      <c r="L806" t="str">
        <f t="shared" ca="1" si="12"/>
        <v/>
      </c>
    </row>
    <row r="807" spans="4:12" x14ac:dyDescent="0.25">
      <c r="D807" s="22"/>
      <c r="F807" s="22"/>
      <c r="H807" s="22"/>
      <c r="K807" s="22"/>
      <c r="L807" t="str">
        <f t="shared" ca="1" si="12"/>
        <v/>
      </c>
    </row>
    <row r="808" spans="4:12" x14ac:dyDescent="0.25">
      <c r="D808" s="22"/>
      <c r="F808" s="22"/>
      <c r="H808" s="22"/>
      <c r="K808" s="22"/>
      <c r="L808" t="str">
        <f t="shared" ca="1" si="12"/>
        <v/>
      </c>
    </row>
    <row r="809" spans="4:12" x14ac:dyDescent="0.25">
      <c r="D809" s="22"/>
      <c r="F809" s="22"/>
      <c r="H809" s="22"/>
      <c r="K809" s="22"/>
      <c r="L809" t="str">
        <f t="shared" ca="1" si="12"/>
        <v/>
      </c>
    </row>
    <row r="810" spans="4:12" x14ac:dyDescent="0.25">
      <c r="D810" s="22"/>
      <c r="F810" s="22"/>
      <c r="H810" s="22"/>
      <c r="K810" s="22"/>
      <c r="L810" t="str">
        <f t="shared" ca="1" si="12"/>
        <v/>
      </c>
    </row>
    <row r="811" spans="4:12" x14ac:dyDescent="0.25">
      <c r="D811" s="22"/>
      <c r="F811" s="22"/>
      <c r="H811" s="22"/>
      <c r="K811" s="22"/>
      <c r="L811" t="str">
        <f t="shared" ca="1" si="12"/>
        <v/>
      </c>
    </row>
    <row r="812" spans="4:12" x14ac:dyDescent="0.25">
      <c r="D812" s="22"/>
      <c r="F812" s="22"/>
      <c r="H812" s="22"/>
      <c r="K812" s="22"/>
      <c r="L812" t="str">
        <f t="shared" ca="1" si="12"/>
        <v/>
      </c>
    </row>
    <row r="813" spans="4:12" x14ac:dyDescent="0.25">
      <c r="D813" s="22"/>
      <c r="F813" s="22"/>
      <c r="H813" s="22"/>
      <c r="K813" s="22"/>
      <c r="L813" t="str">
        <f t="shared" ca="1" si="12"/>
        <v/>
      </c>
    </row>
    <row r="814" spans="4:12" x14ac:dyDescent="0.25">
      <c r="D814" s="22"/>
      <c r="F814" s="22"/>
      <c r="H814" s="22"/>
      <c r="K814" s="22"/>
      <c r="L814" t="str">
        <f t="shared" ca="1" si="12"/>
        <v/>
      </c>
    </row>
    <row r="815" spans="4:12" x14ac:dyDescent="0.25">
      <c r="D815" s="22"/>
      <c r="F815" s="22"/>
      <c r="H815" s="22"/>
      <c r="K815" s="22"/>
      <c r="L815" t="str">
        <f t="shared" ca="1" si="12"/>
        <v/>
      </c>
    </row>
    <row r="816" spans="4:12" x14ac:dyDescent="0.25">
      <c r="D816" s="22"/>
      <c r="F816" s="22"/>
      <c r="H816" s="22"/>
      <c r="K816" s="22"/>
      <c r="L816" t="str">
        <f t="shared" ca="1" si="12"/>
        <v/>
      </c>
    </row>
    <row r="817" spans="4:12" x14ac:dyDescent="0.25">
      <c r="D817" s="22"/>
      <c r="F817" s="22"/>
      <c r="H817" s="22"/>
      <c r="K817" s="22"/>
      <c r="L817" t="str">
        <f t="shared" ca="1" si="12"/>
        <v/>
      </c>
    </row>
    <row r="818" spans="4:12" x14ac:dyDescent="0.25">
      <c r="D818" s="22"/>
      <c r="F818" s="22"/>
      <c r="H818" s="22"/>
      <c r="K818" s="22"/>
      <c r="L818" t="str">
        <f t="shared" ca="1" si="12"/>
        <v/>
      </c>
    </row>
    <row r="819" spans="4:12" x14ac:dyDescent="0.25">
      <c r="D819" s="22"/>
      <c r="F819" s="22"/>
      <c r="H819" s="22"/>
      <c r="K819" s="22"/>
      <c r="L819" t="str">
        <f t="shared" ca="1" si="12"/>
        <v/>
      </c>
    </row>
    <row r="820" spans="4:12" x14ac:dyDescent="0.25">
      <c r="D820" s="22"/>
      <c r="F820" s="22"/>
      <c r="H820" s="22"/>
      <c r="K820" s="22"/>
      <c r="L820" t="str">
        <f t="shared" ca="1" si="12"/>
        <v/>
      </c>
    </row>
    <row r="821" spans="4:12" x14ac:dyDescent="0.25">
      <c r="D821" s="22"/>
      <c r="F821" s="22"/>
      <c r="H821" s="22"/>
      <c r="K821" s="22"/>
      <c r="L821" t="str">
        <f t="shared" ca="1" si="12"/>
        <v/>
      </c>
    </row>
    <row r="822" spans="4:12" x14ac:dyDescent="0.25">
      <c r="D822" s="22"/>
      <c r="F822" s="22"/>
      <c r="H822" s="22"/>
      <c r="K822" s="22"/>
      <c r="L822" t="str">
        <f t="shared" ca="1" si="12"/>
        <v/>
      </c>
    </row>
    <row r="823" spans="4:12" x14ac:dyDescent="0.25">
      <c r="D823" s="22"/>
      <c r="F823" s="22"/>
      <c r="H823" s="22"/>
      <c r="K823" s="22"/>
      <c r="L823" t="str">
        <f t="shared" ca="1" si="12"/>
        <v/>
      </c>
    </row>
    <row r="824" spans="4:12" x14ac:dyDescent="0.25">
      <c r="D824" s="22"/>
      <c r="F824" s="22"/>
      <c r="H824" s="22"/>
      <c r="K824" s="22"/>
      <c r="L824" t="str">
        <f t="shared" ca="1" si="12"/>
        <v/>
      </c>
    </row>
    <row r="825" spans="4:12" x14ac:dyDescent="0.25">
      <c r="D825" s="22"/>
      <c r="F825" s="22"/>
      <c r="H825" s="22"/>
      <c r="K825" s="22"/>
      <c r="L825" t="str">
        <f t="shared" ca="1" si="12"/>
        <v/>
      </c>
    </row>
    <row r="826" spans="4:12" x14ac:dyDescent="0.25">
      <c r="D826" s="22"/>
      <c r="F826" s="22"/>
      <c r="H826" s="22"/>
      <c r="K826" s="22"/>
      <c r="L826" t="str">
        <f t="shared" ca="1" si="12"/>
        <v/>
      </c>
    </row>
    <row r="827" spans="4:12" x14ac:dyDescent="0.25">
      <c r="D827" s="22"/>
      <c r="F827" s="22"/>
      <c r="H827" s="22"/>
      <c r="K827" s="22"/>
      <c r="L827" t="str">
        <f t="shared" ca="1" si="12"/>
        <v/>
      </c>
    </row>
    <row r="828" spans="4:12" x14ac:dyDescent="0.25">
      <c r="D828" s="22"/>
      <c r="F828" s="22"/>
      <c r="H828" s="22"/>
      <c r="K828" s="22"/>
      <c r="L828" t="str">
        <f t="shared" ca="1" si="12"/>
        <v/>
      </c>
    </row>
    <row r="829" spans="4:12" x14ac:dyDescent="0.25">
      <c r="D829" s="22"/>
      <c r="F829" s="22"/>
      <c r="H829" s="22"/>
      <c r="K829" s="22"/>
      <c r="L829" t="str">
        <f t="shared" ca="1" si="12"/>
        <v/>
      </c>
    </row>
    <row r="830" spans="4:12" x14ac:dyDescent="0.25">
      <c r="D830" s="22"/>
      <c r="F830" s="22"/>
      <c r="H830" s="22"/>
      <c r="K830" s="22"/>
      <c r="L830" t="str">
        <f t="shared" ca="1" si="12"/>
        <v/>
      </c>
    </row>
    <row r="831" spans="4:12" x14ac:dyDescent="0.25">
      <c r="D831" s="22"/>
      <c r="F831" s="22"/>
      <c r="H831" s="22"/>
      <c r="K831" s="22"/>
      <c r="L831" t="str">
        <f t="shared" ca="1" si="12"/>
        <v/>
      </c>
    </row>
    <row r="832" spans="4:12" x14ac:dyDescent="0.25">
      <c r="D832" s="22"/>
      <c r="F832" s="22"/>
      <c r="H832" s="22"/>
      <c r="K832" s="22"/>
      <c r="L832" t="str">
        <f t="shared" ca="1" si="12"/>
        <v/>
      </c>
    </row>
    <row r="833" spans="4:12" x14ac:dyDescent="0.25">
      <c r="D833" s="22"/>
      <c r="F833" s="22"/>
      <c r="H833" s="22"/>
      <c r="K833" s="22"/>
      <c r="L833" t="str">
        <f t="shared" ca="1" si="12"/>
        <v/>
      </c>
    </row>
    <row r="834" spans="4:12" x14ac:dyDescent="0.25">
      <c r="D834" s="22"/>
      <c r="F834" s="22"/>
      <c r="H834" s="22"/>
      <c r="K834" s="22"/>
      <c r="L834" t="str">
        <f t="shared" ref="L834:L897" ca="1" si="13">IF(A834="","",IF(OR(E834="Contratado",E834="Descartado",E834="Retirado",G834="No Contesta (Intento 3 - Final)",G834="Datos Erróneos"),"Cerrado",IF(K834="","Sin Fecha Programada",IF(K834&lt;TODAY(),"VENCIDO",IF(K834=TODAY(),"HOY","En Plazo")))))</f>
        <v/>
      </c>
    </row>
    <row r="835" spans="4:12" x14ac:dyDescent="0.25">
      <c r="D835" s="22"/>
      <c r="F835" s="22"/>
      <c r="H835" s="22"/>
      <c r="K835" s="22"/>
      <c r="L835" t="str">
        <f t="shared" ca="1" si="13"/>
        <v/>
      </c>
    </row>
    <row r="836" spans="4:12" x14ac:dyDescent="0.25">
      <c r="D836" s="22"/>
      <c r="F836" s="22"/>
      <c r="H836" s="22"/>
      <c r="K836" s="22"/>
      <c r="L836" t="str">
        <f t="shared" ca="1" si="13"/>
        <v/>
      </c>
    </row>
    <row r="837" spans="4:12" x14ac:dyDescent="0.25">
      <c r="D837" s="22"/>
      <c r="F837" s="22"/>
      <c r="H837" s="22"/>
      <c r="K837" s="22"/>
      <c r="L837" t="str">
        <f t="shared" ca="1" si="13"/>
        <v/>
      </c>
    </row>
    <row r="838" spans="4:12" x14ac:dyDescent="0.25">
      <c r="D838" s="22"/>
      <c r="F838" s="22"/>
      <c r="H838" s="22"/>
      <c r="K838" s="22"/>
      <c r="L838" t="str">
        <f t="shared" ca="1" si="13"/>
        <v/>
      </c>
    </row>
    <row r="839" spans="4:12" x14ac:dyDescent="0.25">
      <c r="D839" s="22"/>
      <c r="F839" s="22"/>
      <c r="H839" s="22"/>
      <c r="K839" s="22"/>
      <c r="L839" t="str">
        <f t="shared" ca="1" si="13"/>
        <v/>
      </c>
    </row>
    <row r="840" spans="4:12" x14ac:dyDescent="0.25">
      <c r="D840" s="22"/>
      <c r="F840" s="22"/>
      <c r="H840" s="22"/>
      <c r="K840" s="22"/>
      <c r="L840" t="str">
        <f t="shared" ca="1" si="13"/>
        <v/>
      </c>
    </row>
    <row r="841" spans="4:12" x14ac:dyDescent="0.25">
      <c r="D841" s="22"/>
      <c r="F841" s="22"/>
      <c r="H841" s="22"/>
      <c r="K841" s="22"/>
      <c r="L841" t="str">
        <f t="shared" ca="1" si="13"/>
        <v/>
      </c>
    </row>
    <row r="842" spans="4:12" x14ac:dyDescent="0.25">
      <c r="D842" s="22"/>
      <c r="F842" s="22"/>
      <c r="H842" s="22"/>
      <c r="K842" s="22"/>
      <c r="L842" t="str">
        <f t="shared" ca="1" si="13"/>
        <v/>
      </c>
    </row>
    <row r="843" spans="4:12" x14ac:dyDescent="0.25">
      <c r="D843" s="22"/>
      <c r="F843" s="22"/>
      <c r="H843" s="22"/>
      <c r="K843" s="22"/>
      <c r="L843" t="str">
        <f t="shared" ca="1" si="13"/>
        <v/>
      </c>
    </row>
    <row r="844" spans="4:12" x14ac:dyDescent="0.25">
      <c r="D844" s="22"/>
      <c r="F844" s="22"/>
      <c r="H844" s="22"/>
      <c r="K844" s="22"/>
      <c r="L844" t="str">
        <f t="shared" ca="1" si="13"/>
        <v/>
      </c>
    </row>
    <row r="845" spans="4:12" x14ac:dyDescent="0.25">
      <c r="D845" s="22"/>
      <c r="F845" s="22"/>
      <c r="H845" s="22"/>
      <c r="K845" s="22"/>
      <c r="L845" t="str">
        <f t="shared" ca="1" si="13"/>
        <v/>
      </c>
    </row>
    <row r="846" spans="4:12" x14ac:dyDescent="0.25">
      <c r="D846" s="22"/>
      <c r="F846" s="22"/>
      <c r="H846" s="22"/>
      <c r="K846" s="22"/>
      <c r="L846" t="str">
        <f t="shared" ca="1" si="13"/>
        <v/>
      </c>
    </row>
    <row r="847" spans="4:12" x14ac:dyDescent="0.25">
      <c r="D847" s="22"/>
      <c r="F847" s="22"/>
      <c r="H847" s="22"/>
      <c r="K847" s="22"/>
      <c r="L847" t="str">
        <f t="shared" ca="1" si="13"/>
        <v/>
      </c>
    </row>
    <row r="848" spans="4:12" x14ac:dyDescent="0.25">
      <c r="D848" s="22"/>
      <c r="F848" s="22"/>
      <c r="H848" s="22"/>
      <c r="K848" s="22"/>
      <c r="L848" t="str">
        <f t="shared" ca="1" si="13"/>
        <v/>
      </c>
    </row>
    <row r="849" spans="4:12" x14ac:dyDescent="0.25">
      <c r="D849" s="22"/>
      <c r="F849" s="22"/>
      <c r="H849" s="22"/>
      <c r="K849" s="22"/>
      <c r="L849" t="str">
        <f t="shared" ca="1" si="13"/>
        <v/>
      </c>
    </row>
    <row r="850" spans="4:12" x14ac:dyDescent="0.25">
      <c r="D850" s="22"/>
      <c r="F850" s="22"/>
      <c r="H850" s="22"/>
      <c r="K850" s="22"/>
      <c r="L850" t="str">
        <f t="shared" ca="1" si="13"/>
        <v/>
      </c>
    </row>
    <row r="851" spans="4:12" x14ac:dyDescent="0.25">
      <c r="D851" s="22"/>
      <c r="F851" s="22"/>
      <c r="H851" s="22"/>
      <c r="K851" s="22"/>
      <c r="L851" t="str">
        <f t="shared" ca="1" si="13"/>
        <v/>
      </c>
    </row>
    <row r="852" spans="4:12" x14ac:dyDescent="0.25">
      <c r="D852" s="22"/>
      <c r="F852" s="22"/>
      <c r="H852" s="22"/>
      <c r="K852" s="22"/>
      <c r="L852" t="str">
        <f t="shared" ca="1" si="13"/>
        <v/>
      </c>
    </row>
    <row r="853" spans="4:12" x14ac:dyDescent="0.25">
      <c r="D853" s="22"/>
      <c r="F853" s="22"/>
      <c r="H853" s="22"/>
      <c r="K853" s="22"/>
      <c r="L853" t="str">
        <f t="shared" ca="1" si="13"/>
        <v/>
      </c>
    </row>
    <row r="854" spans="4:12" x14ac:dyDescent="0.25">
      <c r="D854" s="22"/>
      <c r="F854" s="22"/>
      <c r="H854" s="22"/>
      <c r="K854" s="22"/>
      <c r="L854" t="str">
        <f t="shared" ca="1" si="13"/>
        <v/>
      </c>
    </row>
    <row r="855" spans="4:12" x14ac:dyDescent="0.25">
      <c r="D855" s="22"/>
      <c r="F855" s="22"/>
      <c r="H855" s="22"/>
      <c r="K855" s="22"/>
      <c r="L855" t="str">
        <f t="shared" ca="1" si="13"/>
        <v/>
      </c>
    </row>
    <row r="856" spans="4:12" x14ac:dyDescent="0.25">
      <c r="D856" s="22"/>
      <c r="F856" s="22"/>
      <c r="H856" s="22"/>
      <c r="K856" s="22"/>
      <c r="L856" t="str">
        <f t="shared" ca="1" si="13"/>
        <v/>
      </c>
    </row>
    <row r="857" spans="4:12" x14ac:dyDescent="0.25">
      <c r="D857" s="22"/>
      <c r="F857" s="22"/>
      <c r="H857" s="22"/>
      <c r="K857" s="22"/>
      <c r="L857" t="str">
        <f t="shared" ca="1" si="13"/>
        <v/>
      </c>
    </row>
    <row r="858" spans="4:12" x14ac:dyDescent="0.25">
      <c r="D858" s="22"/>
      <c r="F858" s="22"/>
      <c r="H858" s="22"/>
      <c r="K858" s="22"/>
      <c r="L858" t="str">
        <f t="shared" ca="1" si="13"/>
        <v/>
      </c>
    </row>
    <row r="859" spans="4:12" x14ac:dyDescent="0.25">
      <c r="D859" s="22"/>
      <c r="F859" s="22"/>
      <c r="H859" s="22"/>
      <c r="K859" s="22"/>
      <c r="L859" t="str">
        <f t="shared" ca="1" si="13"/>
        <v/>
      </c>
    </row>
    <row r="860" spans="4:12" x14ac:dyDescent="0.25">
      <c r="D860" s="22"/>
      <c r="F860" s="22"/>
      <c r="H860" s="22"/>
      <c r="K860" s="22"/>
      <c r="L860" t="str">
        <f t="shared" ca="1" si="13"/>
        <v/>
      </c>
    </row>
    <row r="861" spans="4:12" x14ac:dyDescent="0.25">
      <c r="D861" s="22"/>
      <c r="F861" s="22"/>
      <c r="H861" s="22"/>
      <c r="K861" s="22"/>
      <c r="L861" t="str">
        <f t="shared" ca="1" si="13"/>
        <v/>
      </c>
    </row>
    <row r="862" spans="4:12" x14ac:dyDescent="0.25">
      <c r="D862" s="22"/>
      <c r="F862" s="22"/>
      <c r="H862" s="22"/>
      <c r="K862" s="22"/>
      <c r="L862" t="str">
        <f t="shared" ca="1" si="13"/>
        <v/>
      </c>
    </row>
    <row r="863" spans="4:12" x14ac:dyDescent="0.25">
      <c r="D863" s="22"/>
      <c r="F863" s="22"/>
      <c r="H863" s="22"/>
      <c r="K863" s="22"/>
      <c r="L863" t="str">
        <f t="shared" ca="1" si="13"/>
        <v/>
      </c>
    </row>
    <row r="864" spans="4:12" x14ac:dyDescent="0.25">
      <c r="D864" s="22"/>
      <c r="F864" s="22"/>
      <c r="H864" s="22"/>
      <c r="K864" s="22"/>
      <c r="L864" t="str">
        <f t="shared" ca="1" si="13"/>
        <v/>
      </c>
    </row>
    <row r="865" spans="4:12" x14ac:dyDescent="0.25">
      <c r="D865" s="22"/>
      <c r="F865" s="22"/>
      <c r="H865" s="22"/>
      <c r="K865" s="22"/>
      <c r="L865" t="str">
        <f t="shared" ca="1" si="13"/>
        <v/>
      </c>
    </row>
    <row r="866" spans="4:12" x14ac:dyDescent="0.25">
      <c r="D866" s="22"/>
      <c r="F866" s="22"/>
      <c r="H866" s="22"/>
      <c r="K866" s="22"/>
      <c r="L866" t="str">
        <f t="shared" ca="1" si="13"/>
        <v/>
      </c>
    </row>
    <row r="867" spans="4:12" x14ac:dyDescent="0.25">
      <c r="D867" s="22"/>
      <c r="F867" s="22"/>
      <c r="H867" s="22"/>
      <c r="K867" s="22"/>
      <c r="L867" t="str">
        <f t="shared" ca="1" si="13"/>
        <v/>
      </c>
    </row>
    <row r="868" spans="4:12" x14ac:dyDescent="0.25">
      <c r="D868" s="22"/>
      <c r="F868" s="22"/>
      <c r="H868" s="22"/>
      <c r="K868" s="22"/>
      <c r="L868" t="str">
        <f t="shared" ca="1" si="13"/>
        <v/>
      </c>
    </row>
    <row r="869" spans="4:12" x14ac:dyDescent="0.25">
      <c r="D869" s="22"/>
      <c r="F869" s="22"/>
      <c r="H869" s="22"/>
      <c r="K869" s="22"/>
      <c r="L869" t="str">
        <f t="shared" ca="1" si="13"/>
        <v/>
      </c>
    </row>
    <row r="870" spans="4:12" x14ac:dyDescent="0.25">
      <c r="D870" s="22"/>
      <c r="F870" s="22"/>
      <c r="H870" s="22"/>
      <c r="K870" s="22"/>
      <c r="L870" t="str">
        <f t="shared" ca="1" si="13"/>
        <v/>
      </c>
    </row>
    <row r="871" spans="4:12" x14ac:dyDescent="0.25">
      <c r="D871" s="22"/>
      <c r="F871" s="22"/>
      <c r="H871" s="22"/>
      <c r="K871" s="22"/>
      <c r="L871" t="str">
        <f t="shared" ca="1" si="13"/>
        <v/>
      </c>
    </row>
    <row r="872" spans="4:12" x14ac:dyDescent="0.25">
      <c r="D872" s="22"/>
      <c r="F872" s="22"/>
      <c r="H872" s="22"/>
      <c r="K872" s="22"/>
      <c r="L872" t="str">
        <f t="shared" ca="1" si="13"/>
        <v/>
      </c>
    </row>
    <row r="873" spans="4:12" x14ac:dyDescent="0.25">
      <c r="D873" s="22"/>
      <c r="F873" s="22"/>
      <c r="H873" s="22"/>
      <c r="K873" s="22"/>
      <c r="L873" t="str">
        <f t="shared" ca="1" si="13"/>
        <v/>
      </c>
    </row>
    <row r="874" spans="4:12" x14ac:dyDescent="0.25">
      <c r="D874" s="22"/>
      <c r="F874" s="22"/>
      <c r="H874" s="22"/>
      <c r="K874" s="22"/>
      <c r="L874" t="str">
        <f t="shared" ca="1" si="13"/>
        <v/>
      </c>
    </row>
    <row r="875" spans="4:12" x14ac:dyDescent="0.25">
      <c r="D875" s="22"/>
      <c r="F875" s="22"/>
      <c r="H875" s="22"/>
      <c r="K875" s="22"/>
      <c r="L875" t="str">
        <f t="shared" ca="1" si="13"/>
        <v/>
      </c>
    </row>
    <row r="876" spans="4:12" x14ac:dyDescent="0.25">
      <c r="D876" s="22"/>
      <c r="F876" s="22"/>
      <c r="H876" s="22"/>
      <c r="K876" s="22"/>
      <c r="L876" t="str">
        <f t="shared" ca="1" si="13"/>
        <v/>
      </c>
    </row>
    <row r="877" spans="4:12" x14ac:dyDescent="0.25">
      <c r="D877" s="22"/>
      <c r="F877" s="22"/>
      <c r="H877" s="22"/>
      <c r="K877" s="22"/>
      <c r="L877" t="str">
        <f t="shared" ca="1" si="13"/>
        <v/>
      </c>
    </row>
    <row r="878" spans="4:12" x14ac:dyDescent="0.25">
      <c r="D878" s="22"/>
      <c r="F878" s="22"/>
      <c r="H878" s="22"/>
      <c r="K878" s="22"/>
      <c r="L878" t="str">
        <f t="shared" ca="1" si="13"/>
        <v/>
      </c>
    </row>
    <row r="879" spans="4:12" x14ac:dyDescent="0.25">
      <c r="D879" s="22"/>
      <c r="F879" s="22"/>
      <c r="H879" s="22"/>
      <c r="K879" s="22"/>
      <c r="L879" t="str">
        <f t="shared" ca="1" si="13"/>
        <v/>
      </c>
    </row>
    <row r="880" spans="4:12" x14ac:dyDescent="0.25">
      <c r="D880" s="22"/>
      <c r="F880" s="22"/>
      <c r="H880" s="22"/>
      <c r="K880" s="22"/>
      <c r="L880" t="str">
        <f t="shared" ca="1" si="13"/>
        <v/>
      </c>
    </row>
    <row r="881" spans="4:12" x14ac:dyDescent="0.25">
      <c r="D881" s="22"/>
      <c r="F881" s="22"/>
      <c r="H881" s="22"/>
      <c r="K881" s="22"/>
      <c r="L881" t="str">
        <f t="shared" ca="1" si="13"/>
        <v/>
      </c>
    </row>
    <row r="882" spans="4:12" x14ac:dyDescent="0.25">
      <c r="D882" s="22"/>
      <c r="F882" s="22"/>
      <c r="H882" s="22"/>
      <c r="K882" s="22"/>
      <c r="L882" t="str">
        <f t="shared" ca="1" si="13"/>
        <v/>
      </c>
    </row>
    <row r="883" spans="4:12" x14ac:dyDescent="0.25">
      <c r="D883" s="22"/>
      <c r="F883" s="22"/>
      <c r="H883" s="22"/>
      <c r="K883" s="22"/>
      <c r="L883" t="str">
        <f t="shared" ca="1" si="13"/>
        <v/>
      </c>
    </row>
    <row r="884" spans="4:12" x14ac:dyDescent="0.25">
      <c r="D884" s="22"/>
      <c r="F884" s="22"/>
      <c r="H884" s="22"/>
      <c r="K884" s="22"/>
      <c r="L884" t="str">
        <f t="shared" ca="1" si="13"/>
        <v/>
      </c>
    </row>
    <row r="885" spans="4:12" x14ac:dyDescent="0.25">
      <c r="D885" s="22"/>
      <c r="F885" s="22"/>
      <c r="H885" s="22"/>
      <c r="K885" s="22"/>
      <c r="L885" t="str">
        <f t="shared" ca="1" si="13"/>
        <v/>
      </c>
    </row>
    <row r="886" spans="4:12" x14ac:dyDescent="0.25">
      <c r="D886" s="22"/>
      <c r="F886" s="22"/>
      <c r="H886" s="22"/>
      <c r="K886" s="22"/>
      <c r="L886" t="str">
        <f t="shared" ca="1" si="13"/>
        <v/>
      </c>
    </row>
    <row r="887" spans="4:12" x14ac:dyDescent="0.25">
      <c r="D887" s="22"/>
      <c r="F887" s="22"/>
      <c r="H887" s="22"/>
      <c r="K887" s="22"/>
      <c r="L887" t="str">
        <f t="shared" ca="1" si="13"/>
        <v/>
      </c>
    </row>
    <row r="888" spans="4:12" x14ac:dyDescent="0.25">
      <c r="D888" s="22"/>
      <c r="F888" s="22"/>
      <c r="H888" s="22"/>
      <c r="K888" s="22"/>
      <c r="L888" t="str">
        <f t="shared" ca="1" si="13"/>
        <v/>
      </c>
    </row>
    <row r="889" spans="4:12" x14ac:dyDescent="0.25">
      <c r="D889" s="22"/>
      <c r="F889" s="22"/>
      <c r="H889" s="22"/>
      <c r="K889" s="22"/>
      <c r="L889" t="str">
        <f t="shared" ca="1" si="13"/>
        <v/>
      </c>
    </row>
    <row r="890" spans="4:12" x14ac:dyDescent="0.25">
      <c r="D890" s="22"/>
      <c r="F890" s="22"/>
      <c r="H890" s="22"/>
      <c r="K890" s="22"/>
      <c r="L890" t="str">
        <f t="shared" ca="1" si="13"/>
        <v/>
      </c>
    </row>
    <row r="891" spans="4:12" x14ac:dyDescent="0.25">
      <c r="D891" s="22"/>
      <c r="F891" s="22"/>
      <c r="H891" s="22"/>
      <c r="K891" s="22"/>
      <c r="L891" t="str">
        <f t="shared" ca="1" si="13"/>
        <v/>
      </c>
    </row>
    <row r="892" spans="4:12" x14ac:dyDescent="0.25">
      <c r="D892" s="22"/>
      <c r="F892" s="22"/>
      <c r="H892" s="22"/>
      <c r="K892" s="22"/>
      <c r="L892" t="str">
        <f t="shared" ca="1" si="13"/>
        <v/>
      </c>
    </row>
    <row r="893" spans="4:12" x14ac:dyDescent="0.25">
      <c r="D893" s="22"/>
      <c r="F893" s="22"/>
      <c r="H893" s="22"/>
      <c r="K893" s="22"/>
      <c r="L893" t="str">
        <f t="shared" ca="1" si="13"/>
        <v/>
      </c>
    </row>
    <row r="894" spans="4:12" x14ac:dyDescent="0.25">
      <c r="D894" s="22"/>
      <c r="F894" s="22"/>
      <c r="H894" s="22"/>
      <c r="K894" s="22"/>
      <c r="L894" t="str">
        <f t="shared" ca="1" si="13"/>
        <v/>
      </c>
    </row>
    <row r="895" spans="4:12" x14ac:dyDescent="0.25">
      <c r="D895" s="22"/>
      <c r="F895" s="22"/>
      <c r="H895" s="22"/>
      <c r="K895" s="22"/>
      <c r="L895" t="str">
        <f t="shared" ca="1" si="13"/>
        <v/>
      </c>
    </row>
    <row r="896" spans="4:12" x14ac:dyDescent="0.25">
      <c r="D896" s="22"/>
      <c r="F896" s="22"/>
      <c r="H896" s="22"/>
      <c r="K896" s="22"/>
      <c r="L896" t="str">
        <f t="shared" ca="1" si="13"/>
        <v/>
      </c>
    </row>
    <row r="897" spans="4:12" x14ac:dyDescent="0.25">
      <c r="D897" s="22"/>
      <c r="F897" s="22"/>
      <c r="H897" s="22"/>
      <c r="K897" s="22"/>
      <c r="L897" t="str">
        <f t="shared" ca="1" si="13"/>
        <v/>
      </c>
    </row>
    <row r="898" spans="4:12" x14ac:dyDescent="0.25">
      <c r="D898" s="22"/>
      <c r="F898" s="22"/>
      <c r="H898" s="22"/>
      <c r="K898" s="22"/>
      <c r="L898" t="str">
        <f t="shared" ref="L898:L961" ca="1" si="14">IF(A898="","",IF(OR(E898="Contratado",E898="Descartado",E898="Retirado",G898="No Contesta (Intento 3 - Final)",G898="Datos Erróneos"),"Cerrado",IF(K898="","Sin Fecha Programada",IF(K898&lt;TODAY(),"VENCIDO",IF(K898=TODAY(),"HOY","En Plazo")))))</f>
        <v/>
      </c>
    </row>
    <row r="899" spans="4:12" x14ac:dyDescent="0.25">
      <c r="D899" s="22"/>
      <c r="F899" s="22"/>
      <c r="H899" s="22"/>
      <c r="K899" s="22"/>
      <c r="L899" t="str">
        <f t="shared" ca="1" si="14"/>
        <v/>
      </c>
    </row>
    <row r="900" spans="4:12" x14ac:dyDescent="0.25">
      <c r="D900" s="22"/>
      <c r="F900" s="22"/>
      <c r="H900" s="22"/>
      <c r="K900" s="22"/>
      <c r="L900" t="str">
        <f t="shared" ca="1" si="14"/>
        <v/>
      </c>
    </row>
    <row r="901" spans="4:12" x14ac:dyDescent="0.25">
      <c r="D901" s="22"/>
      <c r="F901" s="22"/>
      <c r="H901" s="22"/>
      <c r="K901" s="22"/>
      <c r="L901" t="str">
        <f t="shared" ca="1" si="14"/>
        <v/>
      </c>
    </row>
    <row r="902" spans="4:12" x14ac:dyDescent="0.25">
      <c r="D902" s="22"/>
      <c r="F902" s="22"/>
      <c r="H902" s="22"/>
      <c r="K902" s="22"/>
      <c r="L902" t="str">
        <f t="shared" ca="1" si="14"/>
        <v/>
      </c>
    </row>
    <row r="903" spans="4:12" x14ac:dyDescent="0.25">
      <c r="D903" s="22"/>
      <c r="F903" s="22"/>
      <c r="H903" s="22"/>
      <c r="K903" s="22"/>
      <c r="L903" t="str">
        <f t="shared" ca="1" si="14"/>
        <v/>
      </c>
    </row>
    <row r="904" spans="4:12" x14ac:dyDescent="0.25">
      <c r="D904" s="22"/>
      <c r="F904" s="22"/>
      <c r="H904" s="22"/>
      <c r="K904" s="22"/>
      <c r="L904" t="str">
        <f t="shared" ca="1" si="14"/>
        <v/>
      </c>
    </row>
    <row r="905" spans="4:12" x14ac:dyDescent="0.25">
      <c r="D905" s="22"/>
      <c r="F905" s="22"/>
      <c r="H905" s="22"/>
      <c r="K905" s="22"/>
      <c r="L905" t="str">
        <f t="shared" ca="1" si="14"/>
        <v/>
      </c>
    </row>
    <row r="906" spans="4:12" x14ac:dyDescent="0.25">
      <c r="D906" s="22"/>
      <c r="F906" s="22"/>
      <c r="H906" s="22"/>
      <c r="K906" s="22"/>
      <c r="L906" t="str">
        <f t="shared" ca="1" si="14"/>
        <v/>
      </c>
    </row>
    <row r="907" spans="4:12" x14ac:dyDescent="0.25">
      <c r="D907" s="22"/>
      <c r="F907" s="22"/>
      <c r="H907" s="22"/>
      <c r="K907" s="22"/>
      <c r="L907" t="str">
        <f t="shared" ca="1" si="14"/>
        <v/>
      </c>
    </row>
    <row r="908" spans="4:12" x14ac:dyDescent="0.25">
      <c r="D908" s="22"/>
      <c r="F908" s="22"/>
      <c r="H908" s="22"/>
      <c r="K908" s="22"/>
      <c r="L908" t="str">
        <f t="shared" ca="1" si="14"/>
        <v/>
      </c>
    </row>
    <row r="909" spans="4:12" x14ac:dyDescent="0.25">
      <c r="D909" s="22"/>
      <c r="F909" s="22"/>
      <c r="H909" s="22"/>
      <c r="K909" s="22"/>
      <c r="L909" t="str">
        <f t="shared" ca="1" si="14"/>
        <v/>
      </c>
    </row>
    <row r="910" spans="4:12" x14ac:dyDescent="0.25">
      <c r="D910" s="22"/>
      <c r="F910" s="22"/>
      <c r="H910" s="22"/>
      <c r="K910" s="22"/>
      <c r="L910" t="str">
        <f t="shared" ca="1" si="14"/>
        <v/>
      </c>
    </row>
    <row r="911" spans="4:12" x14ac:dyDescent="0.25">
      <c r="D911" s="22"/>
      <c r="F911" s="22"/>
      <c r="H911" s="22"/>
      <c r="K911" s="22"/>
      <c r="L911" t="str">
        <f t="shared" ca="1" si="14"/>
        <v/>
      </c>
    </row>
    <row r="912" spans="4:12" x14ac:dyDescent="0.25">
      <c r="D912" s="22"/>
      <c r="F912" s="22"/>
      <c r="H912" s="22"/>
      <c r="K912" s="22"/>
      <c r="L912" t="str">
        <f t="shared" ca="1" si="14"/>
        <v/>
      </c>
    </row>
    <row r="913" spans="4:12" x14ac:dyDescent="0.25">
      <c r="D913" s="22"/>
      <c r="F913" s="22"/>
      <c r="H913" s="22"/>
      <c r="K913" s="22"/>
      <c r="L913" t="str">
        <f t="shared" ca="1" si="14"/>
        <v/>
      </c>
    </row>
    <row r="914" spans="4:12" x14ac:dyDescent="0.25">
      <c r="D914" s="22"/>
      <c r="F914" s="22"/>
      <c r="H914" s="22"/>
      <c r="K914" s="22"/>
      <c r="L914" t="str">
        <f t="shared" ca="1" si="14"/>
        <v/>
      </c>
    </row>
    <row r="915" spans="4:12" x14ac:dyDescent="0.25">
      <c r="D915" s="22"/>
      <c r="F915" s="22"/>
      <c r="H915" s="22"/>
      <c r="K915" s="22"/>
      <c r="L915" t="str">
        <f t="shared" ca="1" si="14"/>
        <v/>
      </c>
    </row>
    <row r="916" spans="4:12" x14ac:dyDescent="0.25">
      <c r="D916" s="22"/>
      <c r="F916" s="22"/>
      <c r="H916" s="22"/>
      <c r="K916" s="22"/>
      <c r="L916" t="str">
        <f t="shared" ca="1" si="14"/>
        <v/>
      </c>
    </row>
    <row r="917" spans="4:12" x14ac:dyDescent="0.25">
      <c r="D917" s="22"/>
      <c r="F917" s="22"/>
      <c r="H917" s="22"/>
      <c r="K917" s="22"/>
      <c r="L917" t="str">
        <f t="shared" ca="1" si="14"/>
        <v/>
      </c>
    </row>
    <row r="918" spans="4:12" x14ac:dyDescent="0.25">
      <c r="D918" s="22"/>
      <c r="F918" s="22"/>
      <c r="H918" s="22"/>
      <c r="K918" s="22"/>
      <c r="L918" t="str">
        <f t="shared" ca="1" si="14"/>
        <v/>
      </c>
    </row>
    <row r="919" spans="4:12" x14ac:dyDescent="0.25">
      <c r="D919" s="22"/>
      <c r="F919" s="22"/>
      <c r="H919" s="22"/>
      <c r="K919" s="22"/>
      <c r="L919" t="str">
        <f t="shared" ca="1" si="14"/>
        <v/>
      </c>
    </row>
    <row r="920" spans="4:12" x14ac:dyDescent="0.25">
      <c r="D920" s="22"/>
      <c r="F920" s="22"/>
      <c r="H920" s="22"/>
      <c r="K920" s="22"/>
      <c r="L920" t="str">
        <f t="shared" ca="1" si="14"/>
        <v/>
      </c>
    </row>
    <row r="921" spans="4:12" x14ac:dyDescent="0.25">
      <c r="D921" s="22"/>
      <c r="F921" s="22"/>
      <c r="H921" s="22"/>
      <c r="K921" s="22"/>
      <c r="L921" t="str">
        <f t="shared" ca="1" si="14"/>
        <v/>
      </c>
    </row>
    <row r="922" spans="4:12" x14ac:dyDescent="0.25">
      <c r="D922" s="22"/>
      <c r="F922" s="22"/>
      <c r="H922" s="22"/>
      <c r="K922" s="22"/>
      <c r="L922" t="str">
        <f t="shared" ca="1" si="14"/>
        <v/>
      </c>
    </row>
    <row r="923" spans="4:12" x14ac:dyDescent="0.25">
      <c r="D923" s="22"/>
      <c r="F923" s="22"/>
      <c r="H923" s="22"/>
      <c r="K923" s="22"/>
      <c r="L923" t="str">
        <f t="shared" ca="1" si="14"/>
        <v/>
      </c>
    </row>
    <row r="924" spans="4:12" x14ac:dyDescent="0.25">
      <c r="D924" s="22"/>
      <c r="F924" s="22"/>
      <c r="H924" s="22"/>
      <c r="K924" s="22"/>
      <c r="L924" t="str">
        <f t="shared" ca="1" si="14"/>
        <v/>
      </c>
    </row>
    <row r="925" spans="4:12" x14ac:dyDescent="0.25">
      <c r="D925" s="22"/>
      <c r="F925" s="22"/>
      <c r="H925" s="22"/>
      <c r="K925" s="22"/>
      <c r="L925" t="str">
        <f t="shared" ca="1" si="14"/>
        <v/>
      </c>
    </row>
    <row r="926" spans="4:12" x14ac:dyDescent="0.25">
      <c r="D926" s="22"/>
      <c r="F926" s="22"/>
      <c r="H926" s="22"/>
      <c r="K926" s="22"/>
      <c r="L926" t="str">
        <f t="shared" ca="1" si="14"/>
        <v/>
      </c>
    </row>
    <row r="927" spans="4:12" x14ac:dyDescent="0.25">
      <c r="D927" s="22"/>
      <c r="F927" s="22"/>
      <c r="H927" s="22"/>
      <c r="K927" s="22"/>
      <c r="L927" t="str">
        <f t="shared" ca="1" si="14"/>
        <v/>
      </c>
    </row>
    <row r="928" spans="4:12" x14ac:dyDescent="0.25">
      <c r="D928" s="22"/>
      <c r="F928" s="22"/>
      <c r="H928" s="22"/>
      <c r="K928" s="22"/>
      <c r="L928" t="str">
        <f t="shared" ca="1" si="14"/>
        <v/>
      </c>
    </row>
    <row r="929" spans="4:12" x14ac:dyDescent="0.25">
      <c r="D929" s="22"/>
      <c r="F929" s="22"/>
      <c r="H929" s="22"/>
      <c r="K929" s="22"/>
      <c r="L929" t="str">
        <f t="shared" ca="1" si="14"/>
        <v/>
      </c>
    </row>
    <row r="930" spans="4:12" x14ac:dyDescent="0.25">
      <c r="D930" s="22"/>
      <c r="F930" s="22"/>
      <c r="H930" s="22"/>
      <c r="K930" s="22"/>
      <c r="L930" t="str">
        <f t="shared" ca="1" si="14"/>
        <v/>
      </c>
    </row>
    <row r="931" spans="4:12" x14ac:dyDescent="0.25">
      <c r="D931" s="22"/>
      <c r="F931" s="22"/>
      <c r="H931" s="22"/>
      <c r="K931" s="22"/>
      <c r="L931" t="str">
        <f t="shared" ca="1" si="14"/>
        <v/>
      </c>
    </row>
    <row r="932" spans="4:12" x14ac:dyDescent="0.25">
      <c r="D932" s="22"/>
      <c r="F932" s="22"/>
      <c r="H932" s="22"/>
      <c r="K932" s="22"/>
      <c r="L932" t="str">
        <f t="shared" ca="1" si="14"/>
        <v/>
      </c>
    </row>
    <row r="933" spans="4:12" x14ac:dyDescent="0.25">
      <c r="D933" s="22"/>
      <c r="F933" s="22"/>
      <c r="H933" s="22"/>
      <c r="K933" s="22"/>
      <c r="L933" t="str">
        <f t="shared" ca="1" si="14"/>
        <v/>
      </c>
    </row>
    <row r="934" spans="4:12" x14ac:dyDescent="0.25">
      <c r="D934" s="22"/>
      <c r="F934" s="22"/>
      <c r="H934" s="22"/>
      <c r="K934" s="22"/>
      <c r="L934" t="str">
        <f t="shared" ca="1" si="14"/>
        <v/>
      </c>
    </row>
    <row r="935" spans="4:12" x14ac:dyDescent="0.25">
      <c r="D935" s="22"/>
      <c r="F935" s="22"/>
      <c r="H935" s="22"/>
      <c r="K935" s="22"/>
      <c r="L935" t="str">
        <f t="shared" ca="1" si="14"/>
        <v/>
      </c>
    </row>
    <row r="936" spans="4:12" x14ac:dyDescent="0.25">
      <c r="D936" s="22"/>
      <c r="F936" s="22"/>
      <c r="H936" s="22"/>
      <c r="K936" s="22"/>
      <c r="L936" t="str">
        <f t="shared" ca="1" si="14"/>
        <v/>
      </c>
    </row>
    <row r="937" spans="4:12" x14ac:dyDescent="0.25">
      <c r="D937" s="22"/>
      <c r="F937" s="22"/>
      <c r="H937" s="22"/>
      <c r="K937" s="22"/>
      <c r="L937" t="str">
        <f t="shared" ca="1" si="14"/>
        <v/>
      </c>
    </row>
    <row r="938" spans="4:12" x14ac:dyDescent="0.25">
      <c r="D938" s="22"/>
      <c r="F938" s="22"/>
      <c r="H938" s="22"/>
      <c r="K938" s="22"/>
      <c r="L938" t="str">
        <f t="shared" ca="1" si="14"/>
        <v/>
      </c>
    </row>
    <row r="939" spans="4:12" x14ac:dyDescent="0.25">
      <c r="D939" s="22"/>
      <c r="F939" s="22"/>
      <c r="H939" s="22"/>
      <c r="K939" s="22"/>
      <c r="L939" t="str">
        <f t="shared" ca="1" si="14"/>
        <v/>
      </c>
    </row>
    <row r="940" spans="4:12" x14ac:dyDescent="0.25">
      <c r="D940" s="22"/>
      <c r="F940" s="22"/>
      <c r="H940" s="22"/>
      <c r="K940" s="22"/>
      <c r="L940" t="str">
        <f t="shared" ca="1" si="14"/>
        <v/>
      </c>
    </row>
    <row r="941" spans="4:12" x14ac:dyDescent="0.25">
      <c r="D941" s="22"/>
      <c r="F941" s="22"/>
      <c r="H941" s="22"/>
      <c r="K941" s="22"/>
      <c r="L941" t="str">
        <f t="shared" ca="1" si="14"/>
        <v/>
      </c>
    </row>
    <row r="942" spans="4:12" x14ac:dyDescent="0.25">
      <c r="D942" s="22"/>
      <c r="F942" s="22"/>
      <c r="H942" s="22"/>
      <c r="K942" s="22"/>
      <c r="L942" t="str">
        <f t="shared" ca="1" si="14"/>
        <v/>
      </c>
    </row>
    <row r="943" spans="4:12" x14ac:dyDescent="0.25">
      <c r="D943" s="22"/>
      <c r="F943" s="22"/>
      <c r="H943" s="22"/>
      <c r="K943" s="22"/>
      <c r="L943" t="str">
        <f t="shared" ca="1" si="14"/>
        <v/>
      </c>
    </row>
    <row r="944" spans="4:12" x14ac:dyDescent="0.25">
      <c r="D944" s="22"/>
      <c r="F944" s="22"/>
      <c r="H944" s="22"/>
      <c r="K944" s="22"/>
      <c r="L944" t="str">
        <f t="shared" ca="1" si="14"/>
        <v/>
      </c>
    </row>
    <row r="945" spans="4:12" x14ac:dyDescent="0.25">
      <c r="D945" s="22"/>
      <c r="F945" s="22"/>
      <c r="H945" s="22"/>
      <c r="K945" s="22"/>
      <c r="L945" t="str">
        <f t="shared" ca="1" si="14"/>
        <v/>
      </c>
    </row>
    <row r="946" spans="4:12" x14ac:dyDescent="0.25">
      <c r="D946" s="22"/>
      <c r="F946" s="22"/>
      <c r="H946" s="22"/>
      <c r="K946" s="22"/>
      <c r="L946" t="str">
        <f t="shared" ca="1" si="14"/>
        <v/>
      </c>
    </row>
    <row r="947" spans="4:12" x14ac:dyDescent="0.25">
      <c r="D947" s="22"/>
      <c r="F947" s="22"/>
      <c r="H947" s="22"/>
      <c r="K947" s="22"/>
      <c r="L947" t="str">
        <f t="shared" ca="1" si="14"/>
        <v/>
      </c>
    </row>
    <row r="948" spans="4:12" x14ac:dyDescent="0.25">
      <c r="D948" s="22"/>
      <c r="F948" s="22"/>
      <c r="H948" s="22"/>
      <c r="K948" s="22"/>
      <c r="L948" t="str">
        <f t="shared" ca="1" si="14"/>
        <v/>
      </c>
    </row>
    <row r="949" spans="4:12" x14ac:dyDescent="0.25">
      <c r="D949" s="22"/>
      <c r="F949" s="22"/>
      <c r="H949" s="22"/>
      <c r="K949" s="22"/>
      <c r="L949" t="str">
        <f t="shared" ca="1" si="14"/>
        <v/>
      </c>
    </row>
    <row r="950" spans="4:12" x14ac:dyDescent="0.25">
      <c r="D950" s="22"/>
      <c r="F950" s="22"/>
      <c r="H950" s="22"/>
      <c r="K950" s="22"/>
      <c r="L950" t="str">
        <f t="shared" ca="1" si="14"/>
        <v/>
      </c>
    </row>
    <row r="951" spans="4:12" x14ac:dyDescent="0.25">
      <c r="D951" s="22"/>
      <c r="F951" s="22"/>
      <c r="H951" s="22"/>
      <c r="K951" s="22"/>
      <c r="L951" t="str">
        <f t="shared" ca="1" si="14"/>
        <v/>
      </c>
    </row>
    <row r="952" spans="4:12" x14ac:dyDescent="0.25">
      <c r="D952" s="22"/>
      <c r="F952" s="22"/>
      <c r="H952" s="22"/>
      <c r="K952" s="22"/>
      <c r="L952" t="str">
        <f t="shared" ca="1" si="14"/>
        <v/>
      </c>
    </row>
    <row r="953" spans="4:12" x14ac:dyDescent="0.25">
      <c r="D953" s="22"/>
      <c r="F953" s="22"/>
      <c r="H953" s="22"/>
      <c r="K953" s="22"/>
      <c r="L953" t="str">
        <f t="shared" ca="1" si="14"/>
        <v/>
      </c>
    </row>
    <row r="954" spans="4:12" x14ac:dyDescent="0.25">
      <c r="D954" s="22"/>
      <c r="F954" s="22"/>
      <c r="H954" s="22"/>
      <c r="K954" s="22"/>
      <c r="L954" t="str">
        <f t="shared" ca="1" si="14"/>
        <v/>
      </c>
    </row>
    <row r="955" spans="4:12" x14ac:dyDescent="0.25">
      <c r="D955" s="22"/>
      <c r="F955" s="22"/>
      <c r="H955" s="22"/>
      <c r="K955" s="22"/>
      <c r="L955" t="str">
        <f t="shared" ca="1" si="14"/>
        <v/>
      </c>
    </row>
    <row r="956" spans="4:12" x14ac:dyDescent="0.25">
      <c r="D956" s="22"/>
      <c r="F956" s="22"/>
      <c r="H956" s="22"/>
      <c r="K956" s="22"/>
      <c r="L956" t="str">
        <f t="shared" ca="1" si="14"/>
        <v/>
      </c>
    </row>
    <row r="957" spans="4:12" x14ac:dyDescent="0.25">
      <c r="D957" s="22"/>
      <c r="F957" s="22"/>
      <c r="H957" s="22"/>
      <c r="K957" s="22"/>
      <c r="L957" t="str">
        <f t="shared" ca="1" si="14"/>
        <v/>
      </c>
    </row>
    <row r="958" spans="4:12" x14ac:dyDescent="0.25">
      <c r="D958" s="22"/>
      <c r="F958" s="22"/>
      <c r="H958" s="22"/>
      <c r="K958" s="22"/>
      <c r="L958" t="str">
        <f t="shared" ca="1" si="14"/>
        <v/>
      </c>
    </row>
    <row r="959" spans="4:12" x14ac:dyDescent="0.25">
      <c r="D959" s="22"/>
      <c r="F959" s="22"/>
      <c r="H959" s="22"/>
      <c r="K959" s="22"/>
      <c r="L959" t="str">
        <f t="shared" ca="1" si="14"/>
        <v/>
      </c>
    </row>
    <row r="960" spans="4:12" x14ac:dyDescent="0.25">
      <c r="D960" s="22"/>
      <c r="F960" s="22"/>
      <c r="H960" s="22"/>
      <c r="K960" s="22"/>
      <c r="L960" t="str">
        <f t="shared" ca="1" si="14"/>
        <v/>
      </c>
    </row>
    <row r="961" spans="4:12" x14ac:dyDescent="0.25">
      <c r="D961" s="22"/>
      <c r="F961" s="22"/>
      <c r="H961" s="22"/>
      <c r="K961" s="22"/>
      <c r="L961" t="str">
        <f t="shared" ca="1" si="14"/>
        <v/>
      </c>
    </row>
    <row r="962" spans="4:12" x14ac:dyDescent="0.25">
      <c r="D962" s="22"/>
      <c r="F962" s="22"/>
      <c r="H962" s="22"/>
      <c r="K962" s="22"/>
      <c r="L962" t="str">
        <f t="shared" ref="L962:L1000" ca="1" si="15">IF(A962="","",IF(OR(E962="Contratado",E962="Descartado",E962="Retirado",G962="No Contesta (Intento 3 - Final)",G962="Datos Erróneos"),"Cerrado",IF(K962="","Sin Fecha Programada",IF(K962&lt;TODAY(),"VENCIDO",IF(K962=TODAY(),"HOY","En Plazo")))))</f>
        <v/>
      </c>
    </row>
    <row r="963" spans="4:12" x14ac:dyDescent="0.25">
      <c r="D963" s="22"/>
      <c r="F963" s="22"/>
      <c r="H963" s="22"/>
      <c r="K963" s="22"/>
      <c r="L963" t="str">
        <f t="shared" ca="1" si="15"/>
        <v/>
      </c>
    </row>
    <row r="964" spans="4:12" x14ac:dyDescent="0.25">
      <c r="D964" s="22"/>
      <c r="F964" s="22"/>
      <c r="H964" s="22"/>
      <c r="K964" s="22"/>
      <c r="L964" t="str">
        <f t="shared" ca="1" si="15"/>
        <v/>
      </c>
    </row>
    <row r="965" spans="4:12" x14ac:dyDescent="0.25">
      <c r="D965" s="22"/>
      <c r="F965" s="22"/>
      <c r="H965" s="22"/>
      <c r="K965" s="22"/>
      <c r="L965" t="str">
        <f t="shared" ca="1" si="15"/>
        <v/>
      </c>
    </row>
    <row r="966" spans="4:12" x14ac:dyDescent="0.25">
      <c r="D966" s="22"/>
      <c r="F966" s="22"/>
      <c r="H966" s="22"/>
      <c r="K966" s="22"/>
      <c r="L966" t="str">
        <f t="shared" ca="1" si="15"/>
        <v/>
      </c>
    </row>
    <row r="967" spans="4:12" x14ac:dyDescent="0.25">
      <c r="D967" s="22"/>
      <c r="F967" s="22"/>
      <c r="H967" s="22"/>
      <c r="K967" s="22"/>
      <c r="L967" t="str">
        <f t="shared" ca="1" si="15"/>
        <v/>
      </c>
    </row>
    <row r="968" spans="4:12" x14ac:dyDescent="0.25">
      <c r="D968" s="22"/>
      <c r="F968" s="22"/>
      <c r="H968" s="22"/>
      <c r="K968" s="22"/>
      <c r="L968" t="str">
        <f t="shared" ca="1" si="15"/>
        <v/>
      </c>
    </row>
    <row r="969" spans="4:12" x14ac:dyDescent="0.25">
      <c r="D969" s="22"/>
      <c r="F969" s="22"/>
      <c r="H969" s="22"/>
      <c r="K969" s="22"/>
      <c r="L969" t="str">
        <f t="shared" ca="1" si="15"/>
        <v/>
      </c>
    </row>
    <row r="970" spans="4:12" x14ac:dyDescent="0.25">
      <c r="D970" s="22"/>
      <c r="F970" s="22"/>
      <c r="H970" s="22"/>
      <c r="K970" s="22"/>
      <c r="L970" t="str">
        <f t="shared" ca="1" si="15"/>
        <v/>
      </c>
    </row>
    <row r="971" spans="4:12" x14ac:dyDescent="0.25">
      <c r="D971" s="22"/>
      <c r="F971" s="22"/>
      <c r="H971" s="22"/>
      <c r="K971" s="22"/>
      <c r="L971" t="str">
        <f t="shared" ca="1" si="15"/>
        <v/>
      </c>
    </row>
    <row r="972" spans="4:12" x14ac:dyDescent="0.25">
      <c r="D972" s="22"/>
      <c r="F972" s="22"/>
      <c r="H972" s="22"/>
      <c r="K972" s="22"/>
      <c r="L972" t="str">
        <f t="shared" ca="1" si="15"/>
        <v/>
      </c>
    </row>
    <row r="973" spans="4:12" x14ac:dyDescent="0.25">
      <c r="D973" s="22"/>
      <c r="F973" s="22"/>
      <c r="H973" s="22"/>
      <c r="K973" s="22"/>
      <c r="L973" t="str">
        <f t="shared" ca="1" si="15"/>
        <v/>
      </c>
    </row>
    <row r="974" spans="4:12" x14ac:dyDescent="0.25">
      <c r="D974" s="22"/>
      <c r="F974" s="22"/>
      <c r="H974" s="22"/>
      <c r="K974" s="22"/>
      <c r="L974" t="str">
        <f t="shared" ca="1" si="15"/>
        <v/>
      </c>
    </row>
    <row r="975" spans="4:12" x14ac:dyDescent="0.25">
      <c r="D975" s="22"/>
      <c r="F975" s="22"/>
      <c r="H975" s="22"/>
      <c r="K975" s="22"/>
      <c r="L975" t="str">
        <f t="shared" ca="1" si="15"/>
        <v/>
      </c>
    </row>
    <row r="976" spans="4:12" x14ac:dyDescent="0.25">
      <c r="D976" s="22"/>
      <c r="F976" s="22"/>
      <c r="H976" s="22"/>
      <c r="K976" s="22"/>
      <c r="L976" t="str">
        <f t="shared" ca="1" si="15"/>
        <v/>
      </c>
    </row>
    <row r="977" spans="4:12" x14ac:dyDescent="0.25">
      <c r="D977" s="22"/>
      <c r="F977" s="22"/>
      <c r="H977" s="22"/>
      <c r="K977" s="22"/>
      <c r="L977" t="str">
        <f t="shared" ca="1" si="15"/>
        <v/>
      </c>
    </row>
    <row r="978" spans="4:12" x14ac:dyDescent="0.25">
      <c r="D978" s="22"/>
      <c r="F978" s="22"/>
      <c r="H978" s="22"/>
      <c r="K978" s="22"/>
      <c r="L978" t="str">
        <f t="shared" ca="1" si="15"/>
        <v/>
      </c>
    </row>
    <row r="979" spans="4:12" x14ac:dyDescent="0.25">
      <c r="D979" s="22"/>
      <c r="F979" s="22"/>
      <c r="H979" s="22"/>
      <c r="K979" s="22"/>
      <c r="L979" t="str">
        <f t="shared" ca="1" si="15"/>
        <v/>
      </c>
    </row>
    <row r="980" spans="4:12" x14ac:dyDescent="0.25">
      <c r="D980" s="22"/>
      <c r="F980" s="22"/>
      <c r="H980" s="22"/>
      <c r="K980" s="22"/>
      <c r="L980" t="str">
        <f t="shared" ca="1" si="15"/>
        <v/>
      </c>
    </row>
    <row r="981" spans="4:12" x14ac:dyDescent="0.25">
      <c r="D981" s="22"/>
      <c r="F981" s="22"/>
      <c r="H981" s="22"/>
      <c r="K981" s="22"/>
      <c r="L981" t="str">
        <f t="shared" ca="1" si="15"/>
        <v/>
      </c>
    </row>
    <row r="982" spans="4:12" x14ac:dyDescent="0.25">
      <c r="D982" s="22"/>
      <c r="F982" s="22"/>
      <c r="H982" s="22"/>
      <c r="K982" s="22"/>
      <c r="L982" t="str">
        <f t="shared" ca="1" si="15"/>
        <v/>
      </c>
    </row>
    <row r="983" spans="4:12" x14ac:dyDescent="0.25">
      <c r="D983" s="22"/>
      <c r="F983" s="22"/>
      <c r="H983" s="22"/>
      <c r="K983" s="22"/>
      <c r="L983" t="str">
        <f t="shared" ca="1" si="15"/>
        <v/>
      </c>
    </row>
    <row r="984" spans="4:12" x14ac:dyDescent="0.25">
      <c r="D984" s="22"/>
      <c r="F984" s="22"/>
      <c r="H984" s="22"/>
      <c r="K984" s="22"/>
      <c r="L984" t="str">
        <f t="shared" ca="1" si="15"/>
        <v/>
      </c>
    </row>
    <row r="985" spans="4:12" x14ac:dyDescent="0.25">
      <c r="D985" s="22"/>
      <c r="F985" s="22"/>
      <c r="H985" s="22"/>
      <c r="K985" s="22"/>
      <c r="L985" t="str">
        <f t="shared" ca="1" si="15"/>
        <v/>
      </c>
    </row>
    <row r="986" spans="4:12" x14ac:dyDescent="0.25">
      <c r="D986" s="22"/>
      <c r="F986" s="22"/>
      <c r="H986" s="22"/>
      <c r="K986" s="22"/>
      <c r="L986" t="str">
        <f t="shared" ca="1" si="15"/>
        <v/>
      </c>
    </row>
    <row r="987" spans="4:12" x14ac:dyDescent="0.25">
      <c r="D987" s="22"/>
      <c r="F987" s="22"/>
      <c r="H987" s="22"/>
      <c r="K987" s="22"/>
      <c r="L987" t="str">
        <f t="shared" ca="1" si="15"/>
        <v/>
      </c>
    </row>
    <row r="988" spans="4:12" x14ac:dyDescent="0.25">
      <c r="D988" s="22"/>
      <c r="F988" s="22"/>
      <c r="H988" s="22"/>
      <c r="K988" s="22"/>
      <c r="L988" t="str">
        <f t="shared" ca="1" si="15"/>
        <v/>
      </c>
    </row>
    <row r="989" spans="4:12" x14ac:dyDescent="0.25">
      <c r="D989" s="22"/>
      <c r="F989" s="22"/>
      <c r="H989" s="22"/>
      <c r="K989" s="22"/>
      <c r="L989" t="str">
        <f t="shared" ca="1" si="15"/>
        <v/>
      </c>
    </row>
    <row r="990" spans="4:12" x14ac:dyDescent="0.25">
      <c r="D990" s="22"/>
      <c r="F990" s="22"/>
      <c r="H990" s="22"/>
      <c r="K990" s="22"/>
      <c r="L990" t="str">
        <f t="shared" ca="1" si="15"/>
        <v/>
      </c>
    </row>
    <row r="991" spans="4:12" x14ac:dyDescent="0.25">
      <c r="D991" s="22"/>
      <c r="F991" s="22"/>
      <c r="H991" s="22"/>
      <c r="K991" s="22"/>
      <c r="L991" t="str">
        <f t="shared" ca="1" si="15"/>
        <v/>
      </c>
    </row>
    <row r="992" spans="4:12" x14ac:dyDescent="0.25">
      <c r="D992" s="22"/>
      <c r="F992" s="22"/>
      <c r="H992" s="22"/>
      <c r="K992" s="22"/>
      <c r="L992" t="str">
        <f t="shared" ca="1" si="15"/>
        <v/>
      </c>
    </row>
    <row r="993" spans="4:12" x14ac:dyDescent="0.25">
      <c r="D993" s="22"/>
      <c r="F993" s="22"/>
      <c r="H993" s="22"/>
      <c r="K993" s="22"/>
      <c r="L993" t="str">
        <f t="shared" ca="1" si="15"/>
        <v/>
      </c>
    </row>
    <row r="994" spans="4:12" x14ac:dyDescent="0.25">
      <c r="D994" s="22"/>
      <c r="F994" s="22"/>
      <c r="H994" s="22"/>
      <c r="K994" s="22"/>
      <c r="L994" t="str">
        <f t="shared" ca="1" si="15"/>
        <v/>
      </c>
    </row>
    <row r="995" spans="4:12" x14ac:dyDescent="0.25">
      <c r="D995" s="22"/>
      <c r="F995" s="22"/>
      <c r="H995" s="22"/>
      <c r="K995" s="22"/>
      <c r="L995" t="str">
        <f t="shared" ca="1" si="15"/>
        <v/>
      </c>
    </row>
    <row r="996" spans="4:12" x14ac:dyDescent="0.25">
      <c r="D996" s="22"/>
      <c r="F996" s="22"/>
      <c r="H996" s="22"/>
      <c r="K996" s="22"/>
      <c r="L996" t="str">
        <f t="shared" ca="1" si="15"/>
        <v/>
      </c>
    </row>
    <row r="997" spans="4:12" x14ac:dyDescent="0.25">
      <c r="D997" s="22"/>
      <c r="F997" s="22"/>
      <c r="H997" s="22"/>
      <c r="K997" s="22"/>
      <c r="L997" t="str">
        <f t="shared" ca="1" si="15"/>
        <v/>
      </c>
    </row>
    <row r="998" spans="4:12" x14ac:dyDescent="0.25">
      <c r="D998" s="22"/>
      <c r="F998" s="22"/>
      <c r="H998" s="22"/>
      <c r="K998" s="22"/>
      <c r="L998" t="str">
        <f t="shared" ca="1" si="15"/>
        <v/>
      </c>
    </row>
    <row r="999" spans="4:12" x14ac:dyDescent="0.25">
      <c r="D999" s="22"/>
      <c r="F999" s="22"/>
      <c r="H999" s="22"/>
      <c r="K999" s="22"/>
      <c r="L999" t="str">
        <f t="shared" ca="1" si="15"/>
        <v/>
      </c>
    </row>
    <row r="1000" spans="4:12" x14ac:dyDescent="0.25">
      <c r="D1000" s="22"/>
      <c r="F1000" s="22"/>
      <c r="H1000" s="22"/>
      <c r="K1000" s="22"/>
      <c r="L1000" t="str">
        <f t="shared" ca="1" si="15"/>
        <v/>
      </c>
    </row>
  </sheetData>
  <autoFilter ref="A1:M1000" xr:uid="{00000000-0009-0000-0000-000002000000}"/>
  <conditionalFormatting sqref="A2:A1000">
    <cfRule type="expression" dxfId="7" priority="4">
      <formula>AND(A2&lt;&gt;"",COUNTIF($A$2:$A$1000,A2)&gt;1)</formula>
    </cfRule>
  </conditionalFormatting>
  <conditionalFormatting sqref="A2:L500">
    <cfRule type="expression" dxfId="6" priority="1" stopIfTrue="1">
      <formula>$L2="VENCIDO"</formula>
    </cfRule>
    <cfRule type="expression" dxfId="5" priority="2" stopIfTrue="1">
      <formula>$L2="HOY"</formula>
    </cfRule>
    <cfRule type="expression" dxfId="4" priority="3" stopIfTrue="1">
      <formula>$L2="Cerrado"</formula>
    </cfRule>
  </conditionalFormatting>
  <conditionalFormatting sqref="A2:M1000">
    <cfRule type="expression" dxfId="3" priority="6">
      <formula>AND($A2&lt;&gt;"",$E2="Entrevista Coordinada",ISNUMBER($H2),$H2&lt;TODAY(),$M2&lt;&gt;"Realizada",$M2&lt;&gt;"Cancelada")</formula>
    </cfRule>
  </conditionalFormatting>
  <conditionalFormatting sqref="H2:H1000">
    <cfRule type="expression" dxfId="2" priority="5">
      <formula>AND($E2="Entrevista Coordinada",ISNUMBER($H2),$H2&lt;TODAY(),$M2&lt;&gt;"Realizada",$M2&lt;&gt;"Cancelada")</formula>
    </cfRule>
  </conditionalFormatting>
  <conditionalFormatting sqref="M2:M1000">
    <cfRule type="expression" dxfId="1" priority="7">
      <formula>AND($A2&lt;&gt;"",$E2="Entrevista Coordinada",ISNUMBER($H2),$H2&lt;TODAY(),$M2&lt;&gt;"Realizada",$M2&lt;&gt;"Cancelada")</formula>
    </cfRule>
  </conditionalFormatting>
  <dataValidations count="8">
    <dataValidation type="list" allowBlank="1" showErrorMessage="1" errorTitle="Valor no válido" error="Seleccione una vacante válida." sqref="B2:B1000" xr:uid="{00000000-0002-0000-0200-000000000000}">
      <formula1>lstIDsVacante</formula1>
    </dataValidation>
    <dataValidation type="list" allowBlank="1" showErrorMessage="1" errorTitle="Valor no válido" error="Seleccione una fuente de la lista." sqref="C2:C1000" xr:uid="{00000000-0002-0000-0200-000001000000}">
      <formula1>lstPortales</formula1>
    </dataValidation>
    <dataValidation type="list" allowBlank="1" showErrorMessage="1" errorTitle="Valor no válido" error="Seleccione una etapa válida." sqref="E2:E1000" xr:uid="{00000000-0002-0000-0200-000002000000}">
      <formula1>lstEtapas</formula1>
    </dataValidation>
    <dataValidation type="list" allowBlank="1" showErrorMessage="1" errorTitle="Valor no válido" error="Seleccione un resultado de contacto válido." sqref="G2:G1000" xr:uid="{00000000-0002-0000-0200-000003000000}">
      <formula1>lstResultadosContacto</formula1>
    </dataValidation>
    <dataValidation type="list" allowBlank="1" showErrorMessage="1" errorTitle="Valor no válido" error="Seleccione un estado documental válido." sqref="I2:I1000" xr:uid="{00000000-0002-0000-0200-000004000000}">
      <formula1>lstEstadoDoc</formula1>
    </dataValidation>
    <dataValidation type="list" allowBlank="1" showErrorMessage="1" errorTitle="Valor no válido" error="Seleccione una acción de la lista." sqref="J2:J1000" xr:uid="{00000000-0002-0000-0200-000005000000}">
      <formula1>lstAcciones</formula1>
    </dataValidation>
    <dataValidation type="list" allowBlank="1" showErrorMessage="1" errorTitle="Valor no válido" error="Seleccione un estado de entrevista válido." sqref="M2:M1000" xr:uid="{00000000-0002-0000-0200-000006000000}">
      <formula1>lstEstadosEntrevista</formula1>
    </dataValidation>
    <dataValidation type="date" allowBlank="1" showErrorMessage="1" errorTitle="Fecha no válida" error="Ingrese una fecha válida entre 01/01/2000 y 31/12/2100." sqref="D2:D1000 K2:K1000 H2:H1000 F2:F1000" xr:uid="{00000000-0002-0000-0200-000007000000}">
      <formula1>DATE(2000,1,1)</formula1>
      <formula2>DATE(2100,12,31)</formula2>
    </dataValidation>
  </dataValidations>
  <pageMargins left="0.75" right="0.75" top="1" bottom="1" header="0.5" footer="0.5"/>
  <pageSetup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B2:P37"/>
  <sheetViews>
    <sheetView showGridLines="0" topLeftCell="A3" workbookViewId="0">
      <selection activeCell="W17" sqref="W17"/>
    </sheetView>
  </sheetViews>
  <sheetFormatPr baseColWidth="10" defaultColWidth="9.140625" defaultRowHeight="15" x14ac:dyDescent="0.25"/>
  <cols>
    <col min="1" max="1" width="3" customWidth="1"/>
    <col min="2" max="2" width="24" customWidth="1"/>
    <col min="3" max="4" width="12" customWidth="1"/>
    <col min="5" max="5" width="3" customWidth="1"/>
    <col min="6" max="8" width="13" customWidth="1"/>
    <col min="9" max="9" width="3" customWidth="1"/>
    <col min="10" max="12" width="13" customWidth="1"/>
    <col min="13" max="13" width="3" customWidth="1"/>
    <col min="14" max="16" width="13" customWidth="1"/>
    <col min="17" max="17" width="3" customWidth="1"/>
  </cols>
  <sheetData>
    <row r="2" spans="2:16" ht="26.25" customHeight="1" x14ac:dyDescent="0.4">
      <c r="B2" s="48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2:16" x14ac:dyDescent="0.25">
      <c r="B3" s="50" t="str">
        <f ca="1">"Actualizado al "&amp;TEXT(DAY(TODAY()),"00")&amp;"/"&amp;TEXT(MONTH(TODAY()),"00")&amp;"/"&amp;YEAR(TODAY())&amp;"  |  Datos sintéticos de demostración"</f>
        <v>Actualizado al 16/10/2026  |  Datos sintéticos de demostración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5" spans="2:16" ht="30" customHeight="1" x14ac:dyDescent="0.25">
      <c r="B5" s="45" t="s">
        <v>1</v>
      </c>
      <c r="C5" s="36"/>
      <c r="D5" s="36"/>
      <c r="F5" s="49" t="s">
        <v>2</v>
      </c>
      <c r="G5" s="36"/>
      <c r="H5" s="36"/>
      <c r="J5" s="42" t="s">
        <v>3</v>
      </c>
      <c r="K5" s="36"/>
      <c r="L5" s="36"/>
      <c r="N5" s="37" t="s">
        <v>4</v>
      </c>
      <c r="O5" s="36"/>
      <c r="P5" s="36"/>
    </row>
    <row r="6" spans="2:16" ht="36" customHeight="1" x14ac:dyDescent="0.25">
      <c r="B6" s="38">
        <f>COUNTIFS(CANDIDATOS!$A$2:$A$1000,"&lt;&gt;",CANDIDATOS!$E$2:$E$1000,"&lt;&gt;Descartado",CANDIDATOS!$E$2:$E$1000,"&lt;&gt;Retirado",CANDIDATOS!$E$2:$E$1000,"&lt;&gt;Contratado",CANDIDATOS!$G$2:$G$1000,"&lt;&gt;Datos Erróneos",CANDIDATOS!$G$2:$G$1000,"&lt;&gt;No Contesta (Intento 3 - Final)")</f>
        <v>12</v>
      </c>
      <c r="C6" s="39"/>
      <c r="D6" s="39"/>
      <c r="F6" s="46">
        <f ca="1">COUNTIFS(CANDIDATOS!$E$2:$E$1000,"Entrevista Coordinada",CANDIDATOS!$H$2:$H$1000,"&gt;="&amp;TODAY(),CANDIDATOS!$M$2:$M$1000,"&lt;&gt;Realizada",CANDIDATOS!$M$2:$M$1000,"&lt;&gt;Cancelada")</f>
        <v>2</v>
      </c>
      <c r="G6" s="47"/>
      <c r="H6" s="47"/>
      <c r="J6" s="43">
        <f ca="1">COUNTIF(CANDIDATOS!$L$2:$L$1000,"VENCIDO")</f>
        <v>2</v>
      </c>
      <c r="K6" s="44"/>
      <c r="L6" s="44"/>
      <c r="N6" s="40">
        <f>COUNTIFS(CANDIDATOS!$I$2:$I$1000,"Pendiente*",CANDIDATOS!$E$2:$E$1000,"&lt;&gt;Descartado",CANDIDATOS!$E$2:$E$1000,"&lt;&gt;Retirado",CANDIDATOS!$E$2:$E$1000,"&lt;&gt;Contratado",CANDIDATOS!$G$2:$G$1000,"&lt;&gt;Datos Erróneos",CANDIDATOS!$G$2:$G$1000,"&lt;&gt;No Contesta (Intento 3 - Final)")</f>
        <v>8</v>
      </c>
      <c r="O6" s="41"/>
      <c r="P6" s="41"/>
    </row>
    <row r="8" spans="2:16" ht="15.75" customHeight="1" x14ac:dyDescent="0.25">
      <c r="B8" s="6" t="s">
        <v>5</v>
      </c>
    </row>
    <row r="9" spans="2:16" x14ac:dyDescent="0.25">
      <c r="B9" s="14" t="s">
        <v>6</v>
      </c>
      <c r="C9" s="14" t="s">
        <v>7</v>
      </c>
      <c r="D9" s="14" t="s">
        <v>8</v>
      </c>
    </row>
    <row r="10" spans="2:16" x14ac:dyDescent="0.25">
      <c r="B10" s="15" t="str">
        <f>PARAMETROS!A2</f>
        <v>Recibido</v>
      </c>
      <c r="C10" s="16">
        <f>COUNTIF(CANDIDATOS!E:E,B10)</f>
        <v>2</v>
      </c>
      <c r="D10" s="17">
        <f>IF((COUNTA(CANDIDATOS!A:A)-1)=0,0,C10/(COUNTA(CANDIDATOS!A:A)-1))</f>
        <v>0.1111111111111111</v>
      </c>
    </row>
    <row r="11" spans="2:16" x14ac:dyDescent="0.25">
      <c r="B11" s="15" t="str">
        <f>PARAMETROS!A3</f>
        <v>Contacto Pendiente</v>
      </c>
      <c r="C11" s="16">
        <f>COUNTIF(CANDIDATOS!E:E,B11)</f>
        <v>5</v>
      </c>
      <c r="D11" s="17">
        <f>IF((COUNTA(CANDIDATOS!A:A)-1)=0,0,C11/(COUNTA(CANDIDATOS!A:A)-1))</f>
        <v>0.27777777777777779</v>
      </c>
    </row>
    <row r="12" spans="2:16" x14ac:dyDescent="0.25">
      <c r="B12" s="15" t="str">
        <f>PARAMETROS!A4</f>
        <v>Filtro Telefónico</v>
      </c>
      <c r="C12" s="16">
        <f>COUNTIF(CANDIDATOS!E:E,B12)</f>
        <v>2</v>
      </c>
      <c r="D12" s="17">
        <f>IF((COUNTA(CANDIDATOS!A:A)-1)=0,0,C12/(COUNTA(CANDIDATOS!A:A)-1))</f>
        <v>0.1111111111111111</v>
      </c>
    </row>
    <row r="13" spans="2:16" x14ac:dyDescent="0.25">
      <c r="B13" s="15" t="str">
        <f>PARAMETROS!A5</f>
        <v>Entrevista Coordinada</v>
      </c>
      <c r="C13" s="16">
        <f>COUNTIF(CANDIDATOS!E:E,B13)</f>
        <v>3</v>
      </c>
      <c r="D13" s="17">
        <f>IF((COUNTA(CANDIDATOS!A:A)-1)=0,0,C13/(COUNTA(CANDIDATOS!A:A)-1))</f>
        <v>0.16666666666666666</v>
      </c>
    </row>
    <row r="14" spans="2:16" x14ac:dyDescent="0.25">
      <c r="B14" s="15" t="str">
        <f>PARAMETROS!A6</f>
        <v>En Evaluación</v>
      </c>
      <c r="C14" s="16">
        <f>COUNTIF(CANDIDATOS!E:E,B14)</f>
        <v>1</v>
      </c>
      <c r="D14" s="17">
        <f>IF((COUNTA(CANDIDATOS!A:A)-1)=0,0,C14/(COUNTA(CANDIDATOS!A:A)-1))</f>
        <v>5.5555555555555552E-2</v>
      </c>
    </row>
    <row r="15" spans="2:16" x14ac:dyDescent="0.25">
      <c r="B15" s="15" t="str">
        <f>PARAMETROS!A7</f>
        <v>Seleccionado</v>
      </c>
      <c r="C15" s="16">
        <f>COUNTIF(CANDIDATOS!E:E,B15)</f>
        <v>1</v>
      </c>
      <c r="D15" s="17">
        <f>IF((COUNTA(CANDIDATOS!A:A)-1)=0,0,C15/(COUNTA(CANDIDATOS!A:A)-1))</f>
        <v>5.5555555555555552E-2</v>
      </c>
    </row>
    <row r="16" spans="2:16" x14ac:dyDescent="0.25">
      <c r="B16" s="15" t="str">
        <f>PARAMETROS!A8</f>
        <v>Contratado</v>
      </c>
      <c r="C16" s="16">
        <f>COUNTIF(CANDIDATOS!E:E,B16)</f>
        <v>1</v>
      </c>
      <c r="D16" s="17">
        <f>IF((COUNTA(CANDIDATOS!A:A)-1)=0,0,C16/(COUNTA(CANDIDATOS!A:A)-1))</f>
        <v>5.5555555555555552E-2</v>
      </c>
    </row>
    <row r="17" spans="2:4" x14ac:dyDescent="0.25">
      <c r="B17" s="15" t="str">
        <f>PARAMETROS!A9</f>
        <v>Descartado</v>
      </c>
      <c r="C17" s="16">
        <f>COUNTIF(CANDIDATOS!E:E,B17)</f>
        <v>2</v>
      </c>
      <c r="D17" s="17">
        <f>IF((COUNTA(CANDIDATOS!A:A)-1)=0,0,C17/(COUNTA(CANDIDATOS!A:A)-1))</f>
        <v>0.1111111111111111</v>
      </c>
    </row>
    <row r="18" spans="2:4" x14ac:dyDescent="0.25">
      <c r="B18" s="15" t="str">
        <f>PARAMETROS!A10</f>
        <v>Retirado</v>
      </c>
      <c r="C18" s="16">
        <f>COUNTIF(CANDIDATOS!E:E,B18)</f>
        <v>1</v>
      </c>
      <c r="D18" s="17">
        <f>IF((COUNTA(CANDIDATOS!A:A)-1)=0,0,C18/(COUNTA(CANDIDATOS!A:A)-1))</f>
        <v>5.5555555555555552E-2</v>
      </c>
    </row>
    <row r="19" spans="2:4" x14ac:dyDescent="0.25">
      <c r="B19" s="18" t="s">
        <v>9</v>
      </c>
      <c r="C19" s="19">
        <f>SUM(C10:C18)</f>
        <v>18</v>
      </c>
      <c r="D19" s="20">
        <f>SUM(D10:D18)</f>
        <v>1</v>
      </c>
    </row>
    <row r="22" spans="2:4" ht="15.75" customHeight="1" x14ac:dyDescent="0.25">
      <c r="B22" s="6" t="s">
        <v>10</v>
      </c>
    </row>
    <row r="23" spans="2:4" x14ac:dyDescent="0.25">
      <c r="B23" s="14" t="s">
        <v>11</v>
      </c>
      <c r="C23" s="14" t="s">
        <v>7</v>
      </c>
      <c r="D23" s="14" t="s">
        <v>8</v>
      </c>
    </row>
    <row r="24" spans="2:4" x14ac:dyDescent="0.25">
      <c r="B24" s="15" t="str">
        <f>PARAMETROS!D2</f>
        <v>Trabajando.cl</v>
      </c>
      <c r="C24" s="16">
        <f>COUNTIF(CANDIDATOS!C:C,B24)</f>
        <v>4</v>
      </c>
      <c r="D24" s="17">
        <f>IF((COUNTA(CANDIDATOS!A:A)-1)=0,0,C24/(COUNTA(CANDIDATOS!A:A)-1))</f>
        <v>0.22222222222222221</v>
      </c>
    </row>
    <row r="25" spans="2:4" x14ac:dyDescent="0.25">
      <c r="B25" s="15" t="str">
        <f>PARAMETROS!D3</f>
        <v>Laborum</v>
      </c>
      <c r="C25" s="16">
        <f>COUNTIF(CANDIDATOS!C:C,B25)</f>
        <v>4</v>
      </c>
      <c r="D25" s="17">
        <f>IF((COUNTA(CANDIDATOS!A:A)-1)=0,0,C25/(COUNTA(CANDIDATOS!A:A)-1))</f>
        <v>0.22222222222222221</v>
      </c>
    </row>
    <row r="26" spans="2:4" x14ac:dyDescent="0.25">
      <c r="B26" s="15" t="str">
        <f>PARAMETROS!D4</f>
        <v>LinkedIn</v>
      </c>
      <c r="C26" s="16">
        <f>COUNTIF(CANDIDATOS!C:C,B26)</f>
        <v>3</v>
      </c>
      <c r="D26" s="17">
        <f>IF((COUNTA(CANDIDATOS!A:A)-1)=0,0,C26/(COUNTA(CANDIDATOS!A:A)-1))</f>
        <v>0.16666666666666666</v>
      </c>
    </row>
    <row r="27" spans="2:4" x14ac:dyDescent="0.25">
      <c r="B27" s="15" t="str">
        <f>PARAMETROS!D5</f>
        <v>Computrabajo</v>
      </c>
      <c r="C27" s="16">
        <f>COUNTIF(CANDIDATOS!C:C,B27)</f>
        <v>3</v>
      </c>
      <c r="D27" s="17">
        <f>IF((COUNTA(CANDIDATOS!A:A)-1)=0,0,C27/(COUNTA(CANDIDATOS!A:A)-1))</f>
        <v>0.16666666666666666</v>
      </c>
    </row>
    <row r="28" spans="2:4" x14ac:dyDescent="0.25">
      <c r="B28" s="15" t="str">
        <f>PARAMETROS!D6</f>
        <v>Redes Sociales</v>
      </c>
      <c r="C28" s="16">
        <f>COUNTIF(CANDIDATOS!C:C,B28)</f>
        <v>2</v>
      </c>
      <c r="D28" s="17">
        <f>IF((COUNTA(CANDIDATOS!A:A)-1)=0,0,C28/(COUNTA(CANDIDATOS!A:A)-1))</f>
        <v>0.1111111111111111</v>
      </c>
    </row>
    <row r="29" spans="2:4" x14ac:dyDescent="0.25">
      <c r="B29" s="15" t="str">
        <f>PARAMETROS!D7</f>
        <v>Referido</v>
      </c>
      <c r="C29" s="16">
        <f>COUNTIF(CANDIDATOS!C:C,B29)</f>
        <v>2</v>
      </c>
      <c r="D29" s="17">
        <f>IF((COUNTA(CANDIDATOS!A:A)-1)=0,0,C29/(COUNTA(CANDIDATOS!A:A)-1))</f>
        <v>0.1111111111111111</v>
      </c>
    </row>
    <row r="30" spans="2:4" x14ac:dyDescent="0.25">
      <c r="B30" s="18" t="s">
        <v>9</v>
      </c>
      <c r="C30" s="19">
        <f>SUM(C24:C29)</f>
        <v>18</v>
      </c>
      <c r="D30" s="20">
        <f>SUM(D24:D29)</f>
        <v>1</v>
      </c>
    </row>
    <row r="32" spans="2:4" ht="36" customHeight="1" x14ac:dyDescent="0.25">
      <c r="B32" s="35" t="str">
        <f>"▲ Plataforma que más aporta: "&amp;INDEX(B24:B29,MATCH(MAX(C24:C29),C24:C29,0))&amp;" ("&amp;MAX(C24:C29)&amp;" candidatos, "&amp;ROUND(MAX(D24:D29)*100,0)&amp;"% del total)"</f>
        <v>▲ Plataforma que más aporta: Trabajando.cl (4 candidatos, 22% del total)</v>
      </c>
      <c r="C32" s="36"/>
      <c r="D32" s="36"/>
    </row>
    <row r="34" spans="2:2" x14ac:dyDescent="0.25">
      <c r="B34" s="24" t="s">
        <v>12</v>
      </c>
    </row>
    <row r="35" spans="2:2" ht="21" x14ac:dyDescent="0.35">
      <c r="B35" s="25">
        <f ca="1">COUNTIFS(CANDIDATOS!$E$2:$E$1000,"Entrevista Coordinada",CANDIDATOS!$H$2:$H$1000,"&lt;"&amp;TODAY(),CANDIDATOS!$H$2:$H$1000,"&gt;0",CANDIDATOS!$M$2:$M$1000,"&lt;&gt;Realizada",CANDIDATOS!$M$2:$M$1000,"&lt;&gt;Cancelada")</f>
        <v>1</v>
      </c>
    </row>
    <row r="36" spans="2:2" x14ac:dyDescent="0.25">
      <c r="B36" s="26" t="s">
        <v>13</v>
      </c>
    </row>
    <row r="37" spans="2:2" ht="20.100000000000001" customHeight="1" x14ac:dyDescent="0.25">
      <c r="B37" s="30" t="s">
        <v>14</v>
      </c>
    </row>
  </sheetData>
  <mergeCells count="11">
    <mergeCell ref="B2:P2"/>
    <mergeCell ref="F5:H5"/>
    <mergeCell ref="B3:P3"/>
    <mergeCell ref="B32:D32"/>
    <mergeCell ref="N5:P5"/>
    <mergeCell ref="B6:D6"/>
    <mergeCell ref="N6:P6"/>
    <mergeCell ref="J5:L5"/>
    <mergeCell ref="J6:L6"/>
    <mergeCell ref="B5:D5"/>
    <mergeCell ref="F6:H6"/>
  </mergeCells>
  <conditionalFormatting sqref="B24:D29">
    <cfRule type="expression" dxfId="0" priority="1">
      <formula>AND($C24&gt;0,$C24=MAX($C$24:$C$29))</formula>
    </cfRule>
  </conditionalFormatting>
  <hyperlinks>
    <hyperlink ref="B37" location="'CANDIDATOS'!A1" display="→ Ir a CANDIDATOS y revisar columnas H y M" xr:uid="{00000000-0004-0000-0300-000000000000}"/>
  </hyperlinks>
  <pageMargins left="0.75" right="0.75" top="1" bottom="1" header="0.5" footer="0.5"/>
  <pageSetup fitToHeight="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32" customWidth="1"/>
    <col min="3" max="3" width="54" customWidth="1"/>
    <col min="4" max="4" width="48" customWidth="1"/>
    <col min="5" max="5" width="35" customWidth="1"/>
    <col min="6" max="6" width="28" customWidth="1"/>
  </cols>
  <sheetData>
    <row r="1" spans="1:6" x14ac:dyDescent="0.25">
      <c r="A1" s="23" t="s">
        <v>148</v>
      </c>
      <c r="B1" s="23" t="s">
        <v>149</v>
      </c>
      <c r="C1" s="23" t="s">
        <v>150</v>
      </c>
      <c r="D1" s="23" t="s">
        <v>151</v>
      </c>
      <c r="E1" s="23" t="s">
        <v>152</v>
      </c>
      <c r="F1" s="23" t="s">
        <v>153</v>
      </c>
    </row>
    <row r="2" spans="1:6" x14ac:dyDescent="0.25">
      <c r="A2" s="27" t="s">
        <v>154</v>
      </c>
      <c r="B2" s="27" t="s">
        <v>155</v>
      </c>
      <c r="C2" s="27" t="s">
        <v>156</v>
      </c>
      <c r="D2" s="27" t="s">
        <v>157</v>
      </c>
      <c r="E2" s="27" t="s">
        <v>158</v>
      </c>
      <c r="F2" s="27" t="s">
        <v>159</v>
      </c>
    </row>
    <row r="3" spans="1:6" x14ac:dyDescent="0.25">
      <c r="A3" s="27" t="s">
        <v>160</v>
      </c>
      <c r="B3" s="27" t="s">
        <v>161</v>
      </c>
      <c r="C3" s="27" t="s">
        <v>162</v>
      </c>
      <c r="D3" s="27" t="s">
        <v>163</v>
      </c>
      <c r="E3" s="27" t="s">
        <v>164</v>
      </c>
      <c r="F3" s="27" t="s">
        <v>159</v>
      </c>
    </row>
    <row r="4" spans="1:6" x14ac:dyDescent="0.25">
      <c r="A4" s="27" t="s">
        <v>165</v>
      </c>
      <c r="B4" s="27" t="s">
        <v>166</v>
      </c>
      <c r="C4" s="27" t="s">
        <v>167</v>
      </c>
      <c r="D4" s="27" t="s">
        <v>168</v>
      </c>
      <c r="E4" s="27" t="s">
        <v>169</v>
      </c>
      <c r="F4" s="27" t="s">
        <v>159</v>
      </c>
    </row>
    <row r="5" spans="1:6" ht="30" x14ac:dyDescent="0.25">
      <c r="A5" s="27" t="s">
        <v>170</v>
      </c>
      <c r="B5" s="27" t="s">
        <v>171</v>
      </c>
      <c r="C5" s="27" t="s">
        <v>172</v>
      </c>
      <c r="D5" s="27" t="s">
        <v>173</v>
      </c>
      <c r="E5" s="27" t="s">
        <v>174</v>
      </c>
      <c r="F5" s="27" t="s">
        <v>159</v>
      </c>
    </row>
    <row r="6" spans="1:6" ht="30" x14ac:dyDescent="0.25">
      <c r="A6" s="27" t="s">
        <v>175</v>
      </c>
      <c r="B6" s="27" t="s">
        <v>176</v>
      </c>
      <c r="C6" s="27" t="s">
        <v>177</v>
      </c>
      <c r="D6" s="27" t="s">
        <v>178</v>
      </c>
      <c r="E6" s="27" t="s">
        <v>179</v>
      </c>
      <c r="F6" s="27" t="s">
        <v>159</v>
      </c>
    </row>
    <row r="7" spans="1:6" x14ac:dyDescent="0.25">
      <c r="A7" s="27" t="s">
        <v>180</v>
      </c>
      <c r="B7" s="27" t="s">
        <v>181</v>
      </c>
      <c r="C7" s="27" t="s">
        <v>182</v>
      </c>
      <c r="D7" s="27" t="s">
        <v>183</v>
      </c>
      <c r="E7" s="27" t="s">
        <v>174</v>
      </c>
      <c r="F7" s="27" t="s">
        <v>159</v>
      </c>
    </row>
    <row r="8" spans="1:6" x14ac:dyDescent="0.25">
      <c r="A8" s="27" t="s">
        <v>184</v>
      </c>
      <c r="B8" s="27" t="s">
        <v>185</v>
      </c>
      <c r="C8" s="27" t="s">
        <v>186</v>
      </c>
      <c r="D8" s="27" t="s">
        <v>187</v>
      </c>
      <c r="E8" s="27" t="s">
        <v>169</v>
      </c>
      <c r="F8" s="27" t="s">
        <v>159</v>
      </c>
    </row>
    <row r="9" spans="1:6" x14ac:dyDescent="0.25">
      <c r="A9" s="27" t="s">
        <v>188</v>
      </c>
      <c r="B9" s="27" t="s">
        <v>189</v>
      </c>
      <c r="C9" s="27" t="s">
        <v>190</v>
      </c>
      <c r="D9" s="27" t="s">
        <v>191</v>
      </c>
      <c r="E9" s="27" t="s">
        <v>192</v>
      </c>
      <c r="F9" s="27" t="s">
        <v>159</v>
      </c>
    </row>
    <row r="10" spans="1:6" ht="30" x14ac:dyDescent="0.25">
      <c r="A10" s="27" t="s">
        <v>193</v>
      </c>
      <c r="B10" s="27" t="s">
        <v>194</v>
      </c>
      <c r="C10" s="27" t="s">
        <v>195</v>
      </c>
      <c r="D10" s="27" t="s">
        <v>196</v>
      </c>
      <c r="E10" s="27" t="s">
        <v>197</v>
      </c>
      <c r="F10" s="27" t="s">
        <v>159</v>
      </c>
    </row>
    <row r="11" spans="1:6" x14ac:dyDescent="0.25">
      <c r="A11" s="27" t="s">
        <v>198</v>
      </c>
      <c r="B11" s="27" t="s">
        <v>199</v>
      </c>
      <c r="C11" s="27" t="s">
        <v>200</v>
      </c>
      <c r="D11" s="27" t="s">
        <v>201</v>
      </c>
      <c r="E11" s="27" t="s">
        <v>197</v>
      </c>
      <c r="F11" s="27" t="s">
        <v>159</v>
      </c>
    </row>
    <row r="12" spans="1:6" ht="30" x14ac:dyDescent="0.25">
      <c r="A12" s="27" t="s">
        <v>202</v>
      </c>
      <c r="B12" s="27" t="s">
        <v>203</v>
      </c>
      <c r="C12" s="27" t="s">
        <v>204</v>
      </c>
      <c r="D12" s="27" t="s">
        <v>205</v>
      </c>
      <c r="E12" s="27" t="s">
        <v>206</v>
      </c>
      <c r="F12" s="27" t="s">
        <v>159</v>
      </c>
    </row>
    <row r="13" spans="1:6" x14ac:dyDescent="0.25">
      <c r="A13" s="27" t="s">
        <v>207</v>
      </c>
      <c r="B13" s="27" t="s">
        <v>208</v>
      </c>
      <c r="C13" s="27" t="s">
        <v>209</v>
      </c>
      <c r="D13" s="27" t="s">
        <v>210</v>
      </c>
      <c r="E13" s="27" t="s">
        <v>211</v>
      </c>
      <c r="F13" s="27" t="s">
        <v>159</v>
      </c>
    </row>
    <row r="14" spans="1:6" x14ac:dyDescent="0.25">
      <c r="A14" t="s">
        <v>212</v>
      </c>
      <c r="B14" t="s">
        <v>213</v>
      </c>
      <c r="C14" t="s">
        <v>214</v>
      </c>
      <c r="D14" t="s">
        <v>215</v>
      </c>
      <c r="E14" t="s">
        <v>216</v>
      </c>
      <c r="F14" t="s">
        <v>217</v>
      </c>
    </row>
  </sheetData>
  <autoFilter ref="A1:F13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PARAMETROS</vt:lpstr>
      <vt:lpstr>VACANTES</vt:lpstr>
      <vt:lpstr>CANDIDATOS</vt:lpstr>
      <vt:lpstr>DASHBOARD</vt:lpstr>
      <vt:lpstr>PRUEBAS</vt:lpstr>
      <vt:lpstr>lstAcciones</vt:lpstr>
      <vt:lpstr>lstEstadoDoc</vt:lpstr>
      <vt:lpstr>lstEstadosEntrevista</vt:lpstr>
      <vt:lpstr>lstEstadosVacante</vt:lpstr>
      <vt:lpstr>lstEtapas</vt:lpstr>
      <vt:lpstr>lstIDsVacante</vt:lpstr>
      <vt:lpstr>lstPortales</vt:lpstr>
      <vt:lpstr>lstResultadosContacto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Ramon Muñoz Osorio</cp:lastModifiedBy>
  <dcterms:created xsi:type="dcterms:W3CDTF">2026-10-16T05:42:06Z</dcterms:created>
  <dcterms:modified xsi:type="dcterms:W3CDTF">2026-10-16T06:19:18Z</dcterms:modified>
</cp:coreProperties>
</file>